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真實IC" sheetId="1" state="visible" r:id="rId1"/>
    <sheet name="預測IC" sheetId="2" state="visible" r:id="rId2"/>
    <sheet name="OLS勝率" sheetId="3" state="visible" r:id="rId3"/>
    <sheet name="OLS累積報酬" sheetId="4" state="visible" r:id="rId4"/>
    <sheet name="畫圖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libri"/>
      <b val="1"/>
      <color theme="1"/>
      <sz val="12"/>
    </font>
    <font>
      <name val="Callibri"/>
      <family val="2"/>
      <color theme="1"/>
      <sz val="12"/>
    </font>
    <font>
      <name val="Callibri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3" fillId="3" borderId="8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7" fontId="2" fillId="0" borderId="8" applyAlignment="1" pivotButton="0" quotePrefix="1" xfId="0">
      <alignment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6" fillId="2" borderId="5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7" fillId="0" borderId="6" applyAlignment="1" pivotButton="0" quotePrefix="0" xfId="0">
      <alignment horizontal="center" vertical="center"/>
    </xf>
    <xf numFmtId="17" fontId="7" fillId="0" borderId="5" applyAlignment="1" pivotButton="0" quotePrefix="1" xfId="0">
      <alignment vertical="center"/>
    </xf>
    <xf numFmtId="0" fontId="6" fillId="0" borderId="0" applyAlignment="1" pivotButton="0" quotePrefix="1" xfId="0">
      <alignment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3" borderId="7" applyAlignment="1" pivotButton="0" quotePrefix="0" xfId="0">
      <alignment vertical="center"/>
    </xf>
    <xf numFmtId="0" fontId="6" fillId="3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7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OLS</a:t>
            </a:r>
            <a:r>
              <a:rPr lang="zh-TW" altLang="en-US"/>
              <a:t>累積報酬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畫圖!$B$12</f>
              <strCache>
                <ptCount val="1"/>
                <pt idx="0">
                  <v>100等分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畫圖!$C$12:$EF$12</f>
              <numCache>
                <formatCode>General</formatCode>
                <ptCount val="134"/>
                <pt idx="0">
                  <v>-0.03635023</v>
                </pt>
                <pt idx="1">
                  <v>0.33635899</v>
                </pt>
                <pt idx="2">
                  <v>0.24101438</v>
                </pt>
                <pt idx="3">
                  <v>0.2759358200000001</v>
                </pt>
                <pt idx="4">
                  <v>0.2415319</v>
                </pt>
                <pt idx="5">
                  <v>0.2402881700000001</v>
                </pt>
                <pt idx="6">
                  <v>0.18863301</v>
                </pt>
                <pt idx="7">
                  <v>0.23132486</v>
                </pt>
                <pt idx="8">
                  <v>0.32583966</v>
                </pt>
                <pt idx="9">
                  <v>0.2446686</v>
                </pt>
                <pt idx="10">
                  <v>0.24253558</v>
                </pt>
                <pt idx="11">
                  <v>0.35233177</v>
                </pt>
                <pt idx="12">
                  <v>0.42608911</v>
                </pt>
                <pt idx="13">
                  <v>0.44798568</v>
                </pt>
                <pt idx="14">
                  <v>0.6035225200000001</v>
                </pt>
                <pt idx="15">
                  <v>0.6556522100000001</v>
                </pt>
                <pt idx="16">
                  <v>0.7411401000000001</v>
                </pt>
                <pt idx="17">
                  <v>0.8079402200000001</v>
                </pt>
                <pt idx="18">
                  <v>0.9449082800000002</v>
                </pt>
                <pt idx="19">
                  <v>1.05503529</v>
                </pt>
                <pt idx="20">
                  <v>1.10570671</v>
                </pt>
                <pt idx="21">
                  <v>1.18414312</v>
                </pt>
                <pt idx="22">
                  <v>1.23617192</v>
                </pt>
                <pt idx="23">
                  <v>1.28289189</v>
                </pt>
                <pt idx="24">
                  <v>1.23162388</v>
                </pt>
                <pt idx="25">
                  <v>1.16484867</v>
                </pt>
                <pt idx="26">
                  <v>1.16916634</v>
                </pt>
                <pt idx="27">
                  <v>1.08745297</v>
                </pt>
                <pt idx="28">
                  <v>1.29924561</v>
                </pt>
                <pt idx="29">
                  <v>1.16151932</v>
                </pt>
                <pt idx="30">
                  <v>1.11719478</v>
                </pt>
                <pt idx="31">
                  <v>1.25016215</v>
                </pt>
                <pt idx="32">
                  <v>1.22531289</v>
                </pt>
                <pt idx="33">
                  <v>1.19159497</v>
                </pt>
                <pt idx="34">
                  <v>1.12223352</v>
                </pt>
                <pt idx="35">
                  <v>1.16278917</v>
                </pt>
                <pt idx="36">
                  <v>1.21934717</v>
                </pt>
                <pt idx="37">
                  <v>1.31220908</v>
                </pt>
                <pt idx="38">
                  <v>1.26082456</v>
                </pt>
                <pt idx="39">
                  <v>1.24824262</v>
                </pt>
                <pt idx="40">
                  <v>1.28084016</v>
                </pt>
                <pt idx="41">
                  <v>1.25628934</v>
                </pt>
                <pt idx="42">
                  <v>1.31011052</v>
                </pt>
                <pt idx="43">
                  <v>1.38110033</v>
                </pt>
                <pt idx="44">
                  <v>1.45827441</v>
                </pt>
                <pt idx="45">
                  <v>1.49149971</v>
                </pt>
                <pt idx="46">
                  <v>1.47583977</v>
                </pt>
                <pt idx="47">
                  <v>1.41156389</v>
                </pt>
                <pt idx="48">
                  <v>1.38255823</v>
                </pt>
                <pt idx="49">
                  <v>1.3147119</v>
                </pt>
                <pt idx="50">
                  <v>1.32532541</v>
                </pt>
                <pt idx="51">
                  <v>1.43411451</v>
                </pt>
                <pt idx="52">
                  <v>1.49626965</v>
                </pt>
                <pt idx="53">
                  <v>1.54826139</v>
                </pt>
                <pt idx="54">
                  <v>1.50911488</v>
                </pt>
                <pt idx="55">
                  <v>1.719986970000001</v>
                </pt>
                <pt idx="56">
                  <v>1.722811790000001</v>
                </pt>
                <pt idx="57">
                  <v>1.762965340000001</v>
                </pt>
                <pt idx="58">
                  <v>1.784124450000001</v>
                </pt>
                <pt idx="59">
                  <v>1.914234710000001</v>
                </pt>
                <pt idx="60">
                  <v>1.959839640000001</v>
                </pt>
                <pt idx="61">
                  <v>2.019595060000001</v>
                </pt>
                <pt idx="62">
                  <v>2.067814060000001</v>
                </pt>
                <pt idx="63">
                  <v>2.131534790000001</v>
                </pt>
                <pt idx="64">
                  <v>2.110003850000001</v>
                </pt>
                <pt idx="65">
                  <v>2.058387000000001</v>
                </pt>
                <pt idx="66">
                  <v>2.014955750000001</v>
                </pt>
                <pt idx="67">
                  <v>1.964798320000001</v>
                </pt>
                <pt idx="68">
                  <v>1.952932410000001</v>
                </pt>
                <pt idx="69">
                  <v>1.893081470000001</v>
                </pt>
                <pt idx="70">
                  <v>1.912557890000001</v>
                </pt>
                <pt idx="71">
                  <v>1.814500500000001</v>
                </pt>
                <pt idx="72">
                  <v>2.113379490000001</v>
                </pt>
                <pt idx="73">
                  <v>2.059527920000001</v>
                </pt>
                <pt idx="74">
                  <v>1.966189530000001</v>
                </pt>
                <pt idx="75">
                  <v>1.863283060000001</v>
                </pt>
                <pt idx="76">
                  <v>1.844691040000001</v>
                </pt>
                <pt idx="77">
                  <v>1.713599640000001</v>
                </pt>
                <pt idx="78">
                  <v>1.887251350000001</v>
                </pt>
                <pt idx="79">
                  <v>1.840136880000001</v>
                </pt>
                <pt idx="80">
                  <v>1.723496870000001</v>
                </pt>
                <pt idx="81">
                  <v>1.764846300000001</v>
                </pt>
                <pt idx="82">
                  <v>1.678960280000001</v>
                </pt>
                <pt idx="83">
                  <v>1.760302890000001</v>
                </pt>
                <pt idx="84">
                  <v>1.757791950000001</v>
                </pt>
                <pt idx="85">
                  <v>1.844836310000001</v>
                </pt>
                <pt idx="86">
                  <v>1.940477060000001</v>
                </pt>
                <pt idx="87">
                  <v>1.778822590000001</v>
                </pt>
                <pt idx="88">
                  <v>1.853453710000001</v>
                </pt>
                <pt idx="89">
                  <v>1.888024380000001</v>
                </pt>
                <pt idx="90">
                  <v>1.781045140000001</v>
                </pt>
                <pt idx="91">
                  <v>1.653509300000001</v>
                </pt>
                <pt idx="92">
                  <v>1.628545940000001</v>
                </pt>
                <pt idx="93">
                  <v>1.447057010000001</v>
                </pt>
                <pt idx="94">
                  <v>1.463968000000001</v>
                </pt>
                <pt idx="95">
                  <v>1.468909670000001</v>
                </pt>
                <pt idx="96">
                  <v>1.592959600000001</v>
                </pt>
                <pt idx="97">
                  <v>1.532515100000001</v>
                </pt>
                <pt idx="98">
                  <v>1.558587190000001</v>
                </pt>
                <pt idx="99">
                  <v>1.406199410000001</v>
                </pt>
                <pt idx="100">
                  <v>1.313251510000001</v>
                </pt>
                <pt idx="101">
                  <v>1.289488170000001</v>
                </pt>
                <pt idx="102">
                  <v>1.266990200000001</v>
                </pt>
                <pt idx="103">
                  <v>1.297216820000001</v>
                </pt>
                <pt idx="104">
                  <v>1.272395710000001</v>
                </pt>
                <pt idx="105">
                  <v>1.286902440000001</v>
                </pt>
                <pt idx="106">
                  <v>1.344066070000001</v>
                </pt>
                <pt idx="107">
                  <v>1.350120600000001</v>
                </pt>
                <pt idx="108">
                  <v>1.463212160000001</v>
                </pt>
                <pt idx="109">
                  <v>1.333590220000001</v>
                </pt>
                <pt idx="110">
                  <v>1.387698540000001</v>
                </pt>
                <pt idx="111">
                  <v>1.327674760000001</v>
                </pt>
                <pt idx="112">
                  <v>1.255486160000001</v>
                </pt>
                <pt idx="113">
                  <v>1.255790150000001</v>
                </pt>
                <pt idx="114">
                  <v>1.294842270000001</v>
                </pt>
                <pt idx="115">
                  <v>1.376572980000001</v>
                </pt>
                <pt idx="116">
                  <v>1.410677400000001</v>
                </pt>
                <pt idx="117">
                  <v>1.427809720000001</v>
                </pt>
                <pt idx="118">
                  <v>1.390771030000001</v>
                </pt>
                <pt idx="119">
                  <v>1.368735770000001</v>
                </pt>
                <pt idx="120">
                  <v>1.359164230000001</v>
                </pt>
                <pt idx="121">
                  <v>1.411883020000001</v>
                </pt>
                <pt idx="122">
                  <v>1.223242380000001</v>
                </pt>
                <pt idx="123">
                  <v>1.176514650000001</v>
                </pt>
                <pt idx="124">
                  <v>1.202053280000001</v>
                </pt>
                <pt idx="125">
                  <v>1.18050761</v>
                </pt>
                <pt idx="126">
                  <v>1.09683398</v>
                </pt>
                <pt idx="127">
                  <v>1.13343048</v>
                </pt>
                <pt idx="128">
                  <v>1.24260741</v>
                </pt>
                <pt idx="129">
                  <v>1.33069486</v>
                </pt>
                <pt idx="130">
                  <v>1.25453778</v>
                </pt>
                <pt idx="131">
                  <v>1.14387775</v>
                </pt>
                <pt idx="132">
                  <v>1.09453357</v>
                </pt>
                <pt idx="133">
                  <v>1.06488751</v>
                </pt>
              </numCache>
            </numRef>
          </val>
          <smooth val="0"/>
        </ser>
        <ser>
          <idx val="1"/>
          <order val="1"/>
          <tx>
            <strRef>
              <f>畫圖!$B$13</f>
              <strCache>
                <ptCount val="1"/>
                <pt idx="0">
                  <v>107等分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畫圖!$C$13:$EF$13</f>
              <numCache>
                <formatCode>General</formatCode>
                <ptCount val="134"/>
                <pt idx="0">
                  <v>-0.03943539</v>
                </pt>
                <pt idx="1">
                  <v>0.36875959</v>
                </pt>
                <pt idx="2">
                  <v>0.2820554199999999</v>
                </pt>
                <pt idx="3">
                  <v>0.36077089</v>
                </pt>
                <pt idx="4">
                  <v>0.35262434</v>
                </pt>
                <pt idx="5">
                  <v>0.35197499</v>
                </pt>
                <pt idx="6">
                  <v>0.30197358</v>
                </pt>
                <pt idx="7">
                  <v>0.34868351</v>
                </pt>
                <pt idx="8">
                  <v>0.4351043999999999</v>
                </pt>
                <pt idx="9">
                  <v>0.3499427999999999</v>
                </pt>
                <pt idx="10">
                  <v>0.3359553599999999</v>
                </pt>
                <pt idx="11">
                  <v>0.45619786</v>
                </pt>
                <pt idx="12">
                  <v>0.54042196</v>
                </pt>
                <pt idx="13">
                  <v>0.54861014</v>
                </pt>
                <pt idx="14">
                  <v>0.71102676</v>
                </pt>
                <pt idx="15">
                  <v>0.76731164</v>
                </pt>
                <pt idx="16">
                  <v>0.87717068</v>
                </pt>
                <pt idx="17">
                  <v>0.94438974</v>
                </pt>
                <pt idx="18">
                  <v>1.07445221</v>
                </pt>
                <pt idx="19">
                  <v>1.1500237</v>
                </pt>
                <pt idx="20">
                  <v>1.25165506</v>
                </pt>
                <pt idx="21">
                  <v>1.32533334</v>
                </pt>
                <pt idx="22">
                  <v>1.37561217</v>
                </pt>
                <pt idx="23">
                  <v>1.40965194</v>
                </pt>
                <pt idx="24">
                  <v>1.3661643</v>
                </pt>
                <pt idx="25">
                  <v>1.29178424</v>
                </pt>
                <pt idx="26">
                  <v>1.27901879</v>
                </pt>
                <pt idx="27">
                  <v>1.22588273</v>
                </pt>
                <pt idx="28">
                  <v>1.43551097</v>
                </pt>
                <pt idx="29">
                  <v>1.28759536</v>
                </pt>
                <pt idx="30">
                  <v>1.2438192</v>
                </pt>
                <pt idx="31">
                  <v>1.39222083</v>
                </pt>
                <pt idx="32">
                  <v>1.35883757</v>
                </pt>
                <pt idx="33">
                  <v>1.31071709</v>
                </pt>
                <pt idx="34">
                  <v>1.27328364</v>
                </pt>
                <pt idx="35">
                  <v>1.32197257</v>
                </pt>
                <pt idx="36">
                  <v>1.3880493</v>
                </pt>
                <pt idx="37">
                  <v>1.4945055</v>
                </pt>
                <pt idx="38">
                  <v>1.45341535</v>
                </pt>
                <pt idx="39">
                  <v>1.44817546</v>
                </pt>
                <pt idx="40">
                  <v>1.48664166</v>
                </pt>
                <pt idx="41">
                  <v>1.4541489</v>
                </pt>
                <pt idx="42">
                  <v>1.51921713</v>
                </pt>
                <pt idx="43">
                  <v>1.64178117</v>
                </pt>
                <pt idx="44">
                  <v>1.72387144</v>
                </pt>
                <pt idx="45">
                  <v>1.74748032</v>
                </pt>
                <pt idx="46">
                  <v>1.70822739</v>
                </pt>
                <pt idx="47">
                  <v>1.63098638</v>
                </pt>
                <pt idx="48">
                  <v>1.61138453</v>
                </pt>
                <pt idx="49">
                  <v>1.523234350000001</v>
                </pt>
                <pt idx="50">
                  <v>1.53304255</v>
                </pt>
                <pt idx="51">
                  <v>1.66551729</v>
                </pt>
                <pt idx="52">
                  <v>1.74000439</v>
                </pt>
                <pt idx="53">
                  <v>1.77643633</v>
                </pt>
                <pt idx="54">
                  <v>1.72502534</v>
                </pt>
                <pt idx="55">
                  <v>1.9728122</v>
                </pt>
                <pt idx="56">
                  <v>1.9850136</v>
                </pt>
                <pt idx="57">
                  <v>2.04284894</v>
                </pt>
                <pt idx="58">
                  <v>2.09183888</v>
                </pt>
                <pt idx="59">
                  <v>2.18840568</v>
                </pt>
                <pt idx="60">
                  <v>2.2397773</v>
                </pt>
                <pt idx="61">
                  <v>2.3009509</v>
                </pt>
                <pt idx="62">
                  <v>2.34044889</v>
                </pt>
                <pt idx="63">
                  <v>2.40175364</v>
                </pt>
                <pt idx="64">
                  <v>2.37986328</v>
                </pt>
                <pt idx="65">
                  <v>2.32211322</v>
                </pt>
                <pt idx="66">
                  <v>2.2984225</v>
                </pt>
                <pt idx="67">
                  <v>2.27212565</v>
                </pt>
                <pt idx="68">
                  <v>2.24011866</v>
                </pt>
                <pt idx="69">
                  <v>2.19345778</v>
                </pt>
                <pt idx="70">
                  <v>2.22028423</v>
                </pt>
                <pt idx="71">
                  <v>2.12577376</v>
                </pt>
                <pt idx="72">
                  <v>2.443744590000001</v>
                </pt>
                <pt idx="73">
                  <v>2.37718507</v>
                </pt>
                <pt idx="74">
                  <v>2.25819036</v>
                </pt>
                <pt idx="75">
                  <v>2.14666451</v>
                </pt>
                <pt idx="76">
                  <v>2.11695012</v>
                </pt>
                <pt idx="77">
                  <v>1.97764138</v>
                </pt>
                <pt idx="78">
                  <v>2.02202953</v>
                </pt>
                <pt idx="79">
                  <v>1.961041</v>
                </pt>
                <pt idx="80">
                  <v>1.82844594</v>
                </pt>
                <pt idx="81">
                  <v>1.88124602</v>
                </pt>
                <pt idx="82">
                  <v>1.81951814</v>
                </pt>
                <pt idx="83">
                  <v>1.86996686</v>
                </pt>
                <pt idx="84">
                  <v>1.86572619</v>
                </pt>
                <pt idx="85">
                  <v>1.90643317</v>
                </pt>
                <pt idx="86">
                  <v>1.99485586</v>
                </pt>
                <pt idx="87">
                  <v>1.79811542</v>
                </pt>
                <pt idx="88">
                  <v>1.88710405</v>
                </pt>
                <pt idx="89">
                  <v>1.911202180000001</v>
                </pt>
                <pt idx="90">
                  <v>1.776561970000001</v>
                </pt>
                <pt idx="91">
                  <v>1.639930280000001</v>
                </pt>
                <pt idx="92">
                  <v>1.619596500000001</v>
                </pt>
                <pt idx="93">
                  <v>1.430309970000001</v>
                </pt>
                <pt idx="94">
                  <v>1.452116980000001</v>
                </pt>
                <pt idx="95">
                  <v>1.477674360000001</v>
                </pt>
                <pt idx="96">
                  <v>1.613146060000001</v>
                </pt>
                <pt idx="97">
                  <v>1.553692070000001</v>
                </pt>
                <pt idx="98">
                  <v>1.601033730000001</v>
                </pt>
                <pt idx="99">
                  <v>1.438767750000001</v>
                </pt>
                <pt idx="100">
                  <v>1.357487110000001</v>
                </pt>
                <pt idx="101">
                  <v>1.324762290000001</v>
                </pt>
                <pt idx="102">
                  <v>1.294957500000001</v>
                </pt>
                <pt idx="103">
                  <v>1.337669670000001</v>
                </pt>
                <pt idx="104">
                  <v>1.302311950000001</v>
                </pt>
                <pt idx="105">
                  <v>1.334055660000001</v>
                </pt>
                <pt idx="106">
                  <v>1.368608060000001</v>
                </pt>
                <pt idx="107">
                  <v>1.371306070000001</v>
                </pt>
                <pt idx="108">
                  <v>1.497677990000001</v>
                </pt>
                <pt idx="109">
                  <v>1.360530230000001</v>
                </pt>
                <pt idx="110">
                  <v>1.405929730000001</v>
                </pt>
                <pt idx="111">
                  <v>1.334974680000001</v>
                </pt>
                <pt idx="112">
                  <v>1.277288910000001</v>
                </pt>
                <pt idx="113">
                  <v>1.299161780000001</v>
                </pt>
                <pt idx="114">
                  <v>1.318072150000001</v>
                </pt>
                <pt idx="115">
                  <v>1.433958880000001</v>
                </pt>
                <pt idx="116">
                  <v>1.480522750000001</v>
                </pt>
                <pt idx="117">
                  <v>1.500364700000001</v>
                </pt>
                <pt idx="118">
                  <v>1.453294540000001</v>
                </pt>
                <pt idx="119">
                  <v>1.442116370000001</v>
                </pt>
                <pt idx="120">
                  <v>1.452539390000001</v>
                </pt>
                <pt idx="121">
                  <v>1.511652370000001</v>
                </pt>
                <pt idx="122">
                  <v>1.321544130000001</v>
                </pt>
                <pt idx="123">
                  <v>1.275815810000001</v>
                </pt>
                <pt idx="124">
                  <v>1.316733540000001</v>
                </pt>
                <pt idx="125">
                  <v>1.294785810000001</v>
                </pt>
                <pt idx="126">
                  <v>1.199800950000001</v>
                </pt>
                <pt idx="127">
                  <v>1.212450120000001</v>
                </pt>
                <pt idx="128">
                  <v>1.352249140000001</v>
                </pt>
                <pt idx="129">
                  <v>1.452928240000001</v>
                </pt>
                <pt idx="130">
                  <v>1.384426760000001</v>
                </pt>
                <pt idx="131">
                  <v>1.269727530000001</v>
                </pt>
                <pt idx="132">
                  <v>1.210486530000001</v>
                </pt>
                <pt idx="133">
                  <v>1.175935890000001</v>
                </pt>
              </numCache>
            </numRef>
          </val>
          <smooth val="0"/>
        </ser>
        <ser>
          <idx val="2"/>
          <order val="2"/>
          <tx>
            <strRef>
              <f>畫圖!$B$14</f>
              <strCache>
                <ptCount val="1"/>
                <pt idx="0">
                  <v>137等分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畫圖!$C$14:$EF$14</f>
              <numCache>
                <formatCode>General</formatCode>
                <ptCount val="134"/>
                <pt idx="0">
                  <v>-0.0591468</v>
                </pt>
                <pt idx="1">
                  <v>0.34273688</v>
                </pt>
                <pt idx="2">
                  <v>0.24226126</v>
                </pt>
                <pt idx="3">
                  <v>0.36164422</v>
                </pt>
                <pt idx="4">
                  <v>0.25332785</v>
                </pt>
                <pt idx="5">
                  <v>0.26195008</v>
                </pt>
                <pt idx="6">
                  <v>0.1264499</v>
                </pt>
                <pt idx="7">
                  <v>0.16986142</v>
                </pt>
                <pt idx="8">
                  <v>0.30550931</v>
                </pt>
                <pt idx="9">
                  <v>0.2547511</v>
                </pt>
                <pt idx="10">
                  <v>0.28380256</v>
                </pt>
                <pt idx="11">
                  <v>0.42501005</v>
                </pt>
                <pt idx="12">
                  <v>0.5286805400000001</v>
                </pt>
                <pt idx="13">
                  <v>0.5370086300000001</v>
                </pt>
                <pt idx="14">
                  <v>0.7259840500000001</v>
                </pt>
                <pt idx="15">
                  <v>0.7957180800000001</v>
                </pt>
                <pt idx="16">
                  <v>0.9395233100000001</v>
                </pt>
                <pt idx="17">
                  <v>0.9921614100000001</v>
                </pt>
                <pt idx="18">
                  <v>1.12465643</v>
                </pt>
                <pt idx="19">
                  <v>1.24604789</v>
                </pt>
                <pt idx="20">
                  <v>1.41218272</v>
                </pt>
                <pt idx="21">
                  <v>1.53930553</v>
                </pt>
                <pt idx="22">
                  <v>1.64318477</v>
                </pt>
                <pt idx="23">
                  <v>1.73241913</v>
                </pt>
                <pt idx="24">
                  <v>1.69071388</v>
                </pt>
                <pt idx="25">
                  <v>1.60601558</v>
                </pt>
                <pt idx="26">
                  <v>1.607381</v>
                </pt>
                <pt idx="27">
                  <v>1.53493721</v>
                </pt>
                <pt idx="28">
                  <v>1.79332856</v>
                </pt>
                <pt idx="29">
                  <v>1.64278492</v>
                </pt>
                <pt idx="30">
                  <v>1.561064940000001</v>
                </pt>
                <pt idx="31">
                  <v>1.724133440000001</v>
                </pt>
                <pt idx="32">
                  <v>1.642709690000001</v>
                </pt>
                <pt idx="33">
                  <v>1.571842470000001</v>
                </pt>
                <pt idx="34">
                  <v>1.549009580000001</v>
                </pt>
                <pt idx="35">
                  <v>1.594869710000001</v>
                </pt>
                <pt idx="36">
                  <v>1.661513120000001</v>
                </pt>
                <pt idx="37">
                  <v>1.778339170000001</v>
                </pt>
                <pt idx="38">
                  <v>1.802923450000001</v>
                </pt>
                <pt idx="39">
                  <v>1.800909020000001</v>
                </pt>
                <pt idx="40">
                  <v>1.877139870000001</v>
                </pt>
                <pt idx="41">
                  <v>1.815445350000001</v>
                </pt>
                <pt idx="42">
                  <v>1.9012719</v>
                </pt>
                <pt idx="43">
                  <v>2.067657710000001</v>
                </pt>
                <pt idx="44">
                  <v>2.20655592</v>
                </pt>
                <pt idx="45">
                  <v>2.24161361</v>
                </pt>
                <pt idx="46">
                  <v>2.21707558</v>
                </pt>
                <pt idx="47">
                  <v>2.10367009</v>
                </pt>
                <pt idx="48">
                  <v>2.07348073</v>
                </pt>
                <pt idx="49">
                  <v>2.0218344</v>
                </pt>
                <pt idx="50">
                  <v>2.02246671</v>
                </pt>
                <pt idx="51">
                  <v>2.18972473</v>
                </pt>
                <pt idx="52">
                  <v>2.28370683</v>
                </pt>
                <pt idx="53">
                  <v>2.27197735</v>
                </pt>
                <pt idx="54">
                  <v>2.20361614</v>
                </pt>
                <pt idx="55">
                  <v>2.36860263</v>
                </pt>
                <pt idx="56">
                  <v>2.35179639</v>
                </pt>
                <pt idx="57">
                  <v>2.39123668</v>
                </pt>
                <pt idx="58">
                  <v>2.46722777</v>
                </pt>
                <pt idx="59">
                  <v>2.565761629999999</v>
                </pt>
                <pt idx="60">
                  <v>2.566742709999999</v>
                </pt>
                <pt idx="61">
                  <v>2.622530589999999</v>
                </pt>
                <pt idx="62">
                  <v>2.650611949999999</v>
                </pt>
                <pt idx="63">
                  <v>2.692803539999999</v>
                </pt>
                <pt idx="64">
                  <v>2.675855679999999</v>
                </pt>
                <pt idx="65">
                  <v>2.613392249999999</v>
                </pt>
                <pt idx="66">
                  <v>2.526932559999999</v>
                </pt>
                <pt idx="67">
                  <v>2.521184369999999</v>
                </pt>
                <pt idx="68">
                  <v>2.488311109999999</v>
                </pt>
                <pt idx="69">
                  <v>2.426765789999999</v>
                </pt>
                <pt idx="70">
                  <v>2.507443229999999</v>
                </pt>
                <pt idx="71">
                  <v>2.391937709999999</v>
                </pt>
                <pt idx="72">
                  <v>2.610313209999999</v>
                </pt>
                <pt idx="73">
                  <v>2.535732349999999</v>
                </pt>
                <pt idx="74">
                  <v>2.473045609999998</v>
                </pt>
                <pt idx="75">
                  <v>2.319725619999998</v>
                </pt>
                <pt idx="76">
                  <v>2.303649079999999</v>
                </pt>
                <pt idx="77">
                  <v>2.196803019999999</v>
                </pt>
                <pt idx="78">
                  <v>2.301463639999999</v>
                </pt>
                <pt idx="79">
                  <v>2.179868419999999</v>
                </pt>
                <pt idx="80">
                  <v>2.012474479999999</v>
                </pt>
                <pt idx="81">
                  <v>1.968516739999999</v>
                </pt>
                <pt idx="82">
                  <v>1.876907479999999</v>
                </pt>
                <pt idx="83">
                  <v>1.922273129999998</v>
                </pt>
                <pt idx="84">
                  <v>2.037332439999998</v>
                </pt>
                <pt idx="85">
                  <v>2.099646119999998</v>
                </pt>
                <pt idx="86">
                  <v>2.195704149999998</v>
                </pt>
                <pt idx="87">
                  <v>2.042790209999998</v>
                </pt>
                <pt idx="88">
                  <v>2.186438749999998</v>
                </pt>
                <pt idx="89">
                  <v>2.224435789999998</v>
                </pt>
                <pt idx="90">
                  <v>2.073838279999999</v>
                </pt>
                <pt idx="91">
                  <v>1.910999169999999</v>
                </pt>
                <pt idx="92">
                  <v>1.949241849999999</v>
                </pt>
                <pt idx="93">
                  <v>1.755519439999999</v>
                </pt>
                <pt idx="94">
                  <v>1.783647999999999</v>
                </pt>
                <pt idx="95">
                  <v>1.767375509999999</v>
                </pt>
                <pt idx="96">
                  <v>1.911940329999999</v>
                </pt>
                <pt idx="97">
                  <v>1.848995709999999</v>
                </pt>
                <pt idx="98">
                  <v>1.915554279999999</v>
                </pt>
                <pt idx="99">
                  <v>1.762478589999999</v>
                </pt>
                <pt idx="100">
                  <v>1.669300209999999</v>
                </pt>
                <pt idx="101">
                  <v>1.577840999999999</v>
                </pt>
                <pt idx="102">
                  <v>1.532533549999999</v>
                </pt>
                <pt idx="103">
                  <v>1.578268759999999</v>
                </pt>
                <pt idx="104">
                  <v>1.541859979999999</v>
                </pt>
                <pt idx="105">
                  <v>1.582874169999999</v>
                </pt>
                <pt idx="106">
                  <v>1.621294759999999</v>
                </pt>
                <pt idx="107">
                  <v>1.649366739999999</v>
                </pt>
                <pt idx="108">
                  <v>1.767583829999999</v>
                </pt>
                <pt idx="109">
                  <v>1.575182449999999</v>
                </pt>
                <pt idx="110">
                  <v>1.593795699999999</v>
                </pt>
                <pt idx="111">
                  <v>1.447599619999999</v>
                </pt>
                <pt idx="112">
                  <v>1.390349029999999</v>
                </pt>
                <pt idx="113">
                  <v>1.394179299999999</v>
                </pt>
                <pt idx="114">
                  <v>1.399429979999999</v>
                </pt>
                <pt idx="115">
                  <v>1.524538659999999</v>
                </pt>
                <pt idx="116">
                  <v>1.554737679999999</v>
                </pt>
                <pt idx="117">
                  <v>1.534132989999999</v>
                </pt>
                <pt idx="118">
                  <v>1.468383529999999</v>
                </pt>
                <pt idx="119">
                  <v>1.457932279999999</v>
                </pt>
                <pt idx="120">
                  <v>1.483317929999999</v>
                </pt>
                <pt idx="121">
                  <v>1.505918959999999</v>
                </pt>
                <pt idx="122">
                  <v>1.343330179999999</v>
                </pt>
                <pt idx="123">
                  <v>1.272802489999999</v>
                </pt>
                <pt idx="124">
                  <v>1.354711179999999</v>
                </pt>
                <pt idx="125">
                  <v>1.422888469999999</v>
                </pt>
                <pt idx="126">
                  <v>1.257125369999999</v>
                </pt>
                <pt idx="127">
                  <v>1.213897519999999</v>
                </pt>
                <pt idx="128">
                  <v>1.412843269999999</v>
                </pt>
                <pt idx="129">
                  <v>1.522807619999999</v>
                </pt>
                <pt idx="130">
                  <v>1.379767389999999</v>
                </pt>
                <pt idx="131">
                  <v>1.297008289999999</v>
                </pt>
                <pt idx="132">
                  <v>1.243993249999999</v>
                </pt>
                <pt idx="133">
                  <v>1.180038919999999</v>
                </pt>
              </numCache>
            </numRef>
          </val>
          <smooth val="0"/>
        </ser>
        <ser>
          <idx val="3"/>
          <order val="3"/>
          <tx>
            <strRef>
              <f>畫圖!$B$15</f>
              <strCache>
                <ptCount val="1"/>
                <pt idx="0">
                  <v>160等分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畫圖!$C$15:$EF$15</f>
              <numCache>
                <formatCode>General</formatCode>
                <ptCount val="134"/>
                <pt idx="0">
                  <v>-0.07386193000000001</v>
                </pt>
                <pt idx="1">
                  <v>0.33365878</v>
                </pt>
                <pt idx="2">
                  <v>0.1930751</v>
                </pt>
                <pt idx="3">
                  <v>0.37076376</v>
                </pt>
                <pt idx="4">
                  <v>0.27469779</v>
                </pt>
                <pt idx="5">
                  <v>0.262629</v>
                </pt>
                <pt idx="6">
                  <v>0.12797467</v>
                </pt>
                <pt idx="7">
                  <v>0.16340425</v>
                </pt>
                <pt idx="8">
                  <v>0.40219366</v>
                </pt>
                <pt idx="9">
                  <v>0.38186701</v>
                </pt>
                <pt idx="10">
                  <v>0.33817677</v>
                </pt>
                <pt idx="11">
                  <v>0.49002035</v>
                </pt>
                <pt idx="12">
                  <v>0.58224173</v>
                </pt>
                <pt idx="13">
                  <v>0.60575489</v>
                </pt>
                <pt idx="14">
                  <v>0.80352064</v>
                </pt>
                <pt idx="15">
                  <v>0.89381973</v>
                </pt>
                <pt idx="16">
                  <v>1.01651161</v>
                </pt>
                <pt idx="17">
                  <v>1.04179182</v>
                </pt>
                <pt idx="18">
                  <v>1.19758552</v>
                </pt>
                <pt idx="19">
                  <v>1.29027384</v>
                </pt>
                <pt idx="20">
                  <v>1.4650086</v>
                </pt>
                <pt idx="21">
                  <v>1.58793175</v>
                </pt>
                <pt idx="22">
                  <v>1.69106199</v>
                </pt>
                <pt idx="23">
                  <v>1.7826811</v>
                </pt>
                <pt idx="24">
                  <v>1.7593911</v>
                </pt>
                <pt idx="25">
                  <v>1.66014917</v>
                </pt>
                <pt idx="26">
                  <v>1.67429071</v>
                </pt>
                <pt idx="27">
                  <v>1.65029325</v>
                </pt>
                <pt idx="28">
                  <v>1.95878611</v>
                </pt>
                <pt idx="29">
                  <v>1.78995553</v>
                </pt>
                <pt idx="30">
                  <v>1.74846843</v>
                </pt>
                <pt idx="31">
                  <v>1.95262472</v>
                </pt>
                <pt idx="32">
                  <v>1.90485837</v>
                </pt>
                <pt idx="33">
                  <v>1.82765566</v>
                </pt>
                <pt idx="34">
                  <v>1.78707414</v>
                </pt>
                <pt idx="35">
                  <v>1.85734509</v>
                </pt>
                <pt idx="36">
                  <v>1.9004511</v>
                </pt>
                <pt idx="37">
                  <v>1.98401939</v>
                </pt>
                <pt idx="38">
                  <v>2.03990952</v>
                </pt>
                <pt idx="39">
                  <v>2.0301974</v>
                </pt>
                <pt idx="40">
                  <v>2.11845016</v>
                </pt>
                <pt idx="41">
                  <v>2.04383326</v>
                </pt>
                <pt idx="42">
                  <v>2.14163022</v>
                </pt>
                <pt idx="43">
                  <v>2.32622388</v>
                </pt>
                <pt idx="44">
                  <v>2.47923851</v>
                </pt>
                <pt idx="45">
                  <v>2.52191581</v>
                </pt>
                <pt idx="46">
                  <v>2.49955964</v>
                </pt>
                <pt idx="47">
                  <v>2.35948013</v>
                </pt>
                <pt idx="48">
                  <v>2.29320689</v>
                </pt>
                <pt idx="49">
                  <v>2.17759536</v>
                </pt>
                <pt idx="50">
                  <v>2.14323148</v>
                </pt>
                <pt idx="51">
                  <v>2.34503339</v>
                </pt>
                <pt idx="52">
                  <v>2.40908888</v>
                </pt>
                <pt idx="53">
                  <v>2.40585449</v>
                </pt>
                <pt idx="54">
                  <v>2.35198699</v>
                </pt>
                <pt idx="55">
                  <v>2.49379642</v>
                </pt>
                <pt idx="56">
                  <v>2.47745276</v>
                </pt>
                <pt idx="57">
                  <v>2.47947096</v>
                </pt>
                <pt idx="58">
                  <v>2.58075519</v>
                </pt>
                <pt idx="59">
                  <v>2.63966741</v>
                </pt>
                <pt idx="60">
                  <v>2.57014837</v>
                </pt>
                <pt idx="61">
                  <v>2.6333129</v>
                </pt>
                <pt idx="62">
                  <v>2.66509916</v>
                </pt>
                <pt idx="63">
                  <v>2.73728426</v>
                </pt>
                <pt idx="64">
                  <v>2.7115553</v>
                </pt>
                <pt idx="65">
                  <v>2.69914496</v>
                </pt>
                <pt idx="66">
                  <v>2.58949183</v>
                </pt>
                <pt idx="67">
                  <v>2.59616708</v>
                </pt>
                <pt idx="68">
                  <v>2.59966701</v>
                </pt>
                <pt idx="69">
                  <v>2.51734361</v>
                </pt>
                <pt idx="70">
                  <v>2.59327986</v>
                </pt>
                <pt idx="71">
                  <v>2.493194589999999</v>
                </pt>
                <pt idx="72">
                  <v>2.8006476</v>
                </pt>
                <pt idx="73">
                  <v>2.74581732</v>
                </pt>
                <pt idx="74">
                  <v>2.71814183</v>
                </pt>
                <pt idx="75">
                  <v>2.65432644</v>
                </pt>
                <pt idx="76">
                  <v>2.62499768</v>
                </pt>
                <pt idx="77">
                  <v>2.49715947</v>
                </pt>
                <pt idx="78">
                  <v>2.5196657</v>
                </pt>
                <pt idx="79">
                  <v>2.37093379</v>
                </pt>
                <pt idx="80">
                  <v>2.17266796</v>
                </pt>
                <pt idx="81">
                  <v>2.093616439999999</v>
                </pt>
                <pt idx="82">
                  <v>2.036498819999999</v>
                </pt>
                <pt idx="83">
                  <v>2.079213859999999</v>
                </pt>
                <pt idx="84">
                  <v>2.189948069999999</v>
                </pt>
                <pt idx="85">
                  <v>2.251888569999999</v>
                </pt>
                <pt idx="86">
                  <v>2.370685829999999</v>
                </pt>
                <pt idx="87">
                  <v>2.255338049999999</v>
                </pt>
                <pt idx="88">
                  <v>2.430685689999999</v>
                </pt>
                <pt idx="89">
                  <v>2.507618339999999</v>
                </pt>
                <pt idx="90">
                  <v>2.341471779999999</v>
                </pt>
                <pt idx="91">
                  <v>2.182439179999999</v>
                </pt>
                <pt idx="92">
                  <v>2.214833789999999</v>
                </pt>
                <pt idx="93">
                  <v>2.038527069999999</v>
                </pt>
                <pt idx="94">
                  <v>2.082302059999999</v>
                </pt>
                <pt idx="95">
                  <v>2.054361419999999</v>
                </pt>
                <pt idx="96">
                  <v>2.200968959999999</v>
                </pt>
                <pt idx="97">
                  <v>2.124826469999999</v>
                </pt>
                <pt idx="98">
                  <v>2.185342349999999</v>
                </pt>
                <pt idx="99">
                  <v>2.037192059999999</v>
                </pt>
                <pt idx="100">
                  <v>1.929299939999999</v>
                </pt>
                <pt idx="101">
                  <v>1.871800679999999</v>
                </pt>
                <pt idx="102">
                  <v>1.813576799999999</v>
                </pt>
                <pt idx="103">
                  <v>1.849297699999999</v>
                </pt>
                <pt idx="104">
                  <v>1.8844771</v>
                </pt>
                <pt idx="105">
                  <v>1.89067823</v>
                </pt>
                <pt idx="106">
                  <v>1.92369664</v>
                </pt>
                <pt idx="107">
                  <v>1.944992979999999</v>
                </pt>
                <pt idx="108">
                  <v>2.071483779999999</v>
                </pt>
                <pt idx="109">
                  <v>1.846893999999999</v>
                </pt>
                <pt idx="110">
                  <v>1.905541029999999</v>
                </pt>
                <pt idx="111">
                  <v>1.740290559999999</v>
                </pt>
                <pt idx="112">
                  <v>1.724306269999999</v>
                </pt>
                <pt idx="113">
                  <v>1.736289059999999</v>
                </pt>
                <pt idx="114">
                  <v>1.690191159999999</v>
                </pt>
                <pt idx="115">
                  <v>1.86411946</v>
                </pt>
                <pt idx="116">
                  <v>1.912824979999999</v>
                </pt>
                <pt idx="117">
                  <v>1.940662989999999</v>
                </pt>
                <pt idx="118">
                  <v>1.860288819999999</v>
                </pt>
                <pt idx="119">
                  <v>1.842744019999999</v>
                </pt>
                <pt idx="120">
                  <v>1.887662979999999</v>
                </pt>
                <pt idx="121">
                  <v>1.892696229999999</v>
                </pt>
                <pt idx="122">
                  <v>1.698176789999999</v>
                </pt>
                <pt idx="123">
                  <v>1.626583399999999</v>
                </pt>
                <pt idx="124">
                  <v>1.687192539999999</v>
                </pt>
                <pt idx="125">
                  <v>1.781806729999999</v>
                </pt>
                <pt idx="126">
                  <v>1.629687319999999</v>
                </pt>
                <pt idx="127">
                  <v>1.550043749999999</v>
                </pt>
                <pt idx="128">
                  <v>1.783089579999999</v>
                </pt>
                <pt idx="129">
                  <v>1.891843089999999</v>
                </pt>
                <pt idx="130">
                  <v>1.748068889999999</v>
                </pt>
                <pt idx="131">
                  <v>1.667783629999999</v>
                </pt>
                <pt idx="132">
                  <v>1.644967739999999</v>
                </pt>
                <pt idx="133">
                  <v>1.570944819999999</v>
                </pt>
              </numCache>
            </numRef>
          </val>
          <smooth val="0"/>
        </ser>
        <ser>
          <idx val="4"/>
          <order val="4"/>
          <tx>
            <strRef>
              <f>畫圖!$B$16</f>
              <strCache>
                <ptCount val="1"/>
                <pt idx="0">
                  <v>192等分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畫圖!$C$16:$EF$16</f>
              <numCache>
                <formatCode>General</formatCode>
                <ptCount val="134"/>
                <pt idx="0">
                  <v>0.01124133</v>
                </pt>
                <pt idx="1">
                  <v>0.39326635</v>
                </pt>
                <pt idx="2">
                  <v>0.24714144</v>
                </pt>
                <pt idx="3">
                  <v>0.4526727</v>
                </pt>
                <pt idx="4">
                  <v>0.33548956</v>
                </pt>
                <pt idx="5">
                  <v>0.34707259</v>
                </pt>
                <pt idx="6">
                  <v>0.18892303</v>
                </pt>
                <pt idx="7">
                  <v>0.22339429</v>
                </pt>
                <pt idx="8">
                  <v>0.43811879</v>
                </pt>
                <pt idx="9">
                  <v>0.42911902</v>
                </pt>
                <pt idx="10">
                  <v>0.35140079</v>
                </pt>
                <pt idx="11">
                  <v>0.5195443799999999</v>
                </pt>
                <pt idx="12">
                  <v>0.6186458599999999</v>
                </pt>
                <pt idx="13">
                  <v>0.6617845399999999</v>
                </pt>
                <pt idx="14">
                  <v>0.8785102799999999</v>
                </pt>
                <pt idx="15">
                  <v>0.9877633399999999</v>
                </pt>
                <pt idx="16">
                  <v>1.07032595</v>
                </pt>
                <pt idx="17">
                  <v>1.05466304</v>
                </pt>
                <pt idx="18">
                  <v>1.17699208</v>
                </pt>
                <pt idx="19">
                  <v>1.28050968</v>
                </pt>
                <pt idx="20">
                  <v>1.50695334</v>
                </pt>
                <pt idx="21">
                  <v>1.65699565</v>
                </pt>
                <pt idx="22">
                  <v>1.78596069</v>
                </pt>
                <pt idx="23">
                  <v>1.89157765</v>
                </pt>
                <pt idx="24">
                  <v>1.8699831</v>
                </pt>
                <pt idx="25">
                  <v>1.78522326</v>
                </pt>
                <pt idx="26">
                  <v>1.83247152</v>
                </pt>
                <pt idx="27">
                  <v>1.80548422</v>
                </pt>
                <pt idx="28">
                  <v>1.96670543</v>
                </pt>
                <pt idx="29">
                  <v>1.74320761</v>
                </pt>
                <pt idx="30">
                  <v>1.71104436</v>
                </pt>
                <pt idx="31">
                  <v>1.92768681</v>
                </pt>
                <pt idx="32">
                  <v>1.84440746</v>
                </pt>
                <pt idx="33">
                  <v>1.78368178</v>
                </pt>
                <pt idx="34">
                  <v>1.77543326</v>
                </pt>
                <pt idx="35">
                  <v>1.84832671</v>
                </pt>
                <pt idx="36">
                  <v>1.88142269</v>
                </pt>
                <pt idx="37">
                  <v>1.94600809</v>
                </pt>
                <pt idx="38">
                  <v>1.99511638</v>
                </pt>
                <pt idx="39">
                  <v>1.98251186</v>
                </pt>
                <pt idx="40">
                  <v>1.95505937</v>
                </pt>
                <pt idx="41">
                  <v>1.9417701</v>
                </pt>
                <pt idx="42">
                  <v>2.053865909999999</v>
                </pt>
                <pt idx="43">
                  <v>2.292989659999999</v>
                </pt>
                <pt idx="44">
                  <v>2.4360623</v>
                </pt>
                <pt idx="45">
                  <v>2.50753549</v>
                </pt>
                <pt idx="46">
                  <v>2.500670219999999</v>
                </pt>
                <pt idx="47">
                  <v>2.296330999999999</v>
                </pt>
                <pt idx="48">
                  <v>2.378388639999999</v>
                </pt>
                <pt idx="49">
                  <v>2.222114629999999</v>
                </pt>
                <pt idx="50">
                  <v>2.185315769999999</v>
                </pt>
                <pt idx="51">
                  <v>2.416529399999999</v>
                </pt>
                <pt idx="52">
                  <v>2.487134969999999</v>
                </pt>
                <pt idx="53">
                  <v>2.433705159999999</v>
                </pt>
                <pt idx="54">
                  <v>2.439651959999999</v>
                </pt>
                <pt idx="55">
                  <v>2.577623219999999</v>
                </pt>
                <pt idx="56">
                  <v>2.581405359999999</v>
                </pt>
                <pt idx="57">
                  <v>2.509798909999999</v>
                </pt>
                <pt idx="58">
                  <v>2.624054579999999</v>
                </pt>
                <pt idx="59">
                  <v>2.673194359999999</v>
                </pt>
                <pt idx="60">
                  <v>2.570596079999999</v>
                </pt>
                <pt idx="61">
                  <v>2.640455519999999</v>
                </pt>
                <pt idx="62">
                  <v>2.687924069999999</v>
                </pt>
                <pt idx="63">
                  <v>2.773588699999999</v>
                </pt>
                <pt idx="64">
                  <v>2.812050419999999</v>
                </pt>
                <pt idx="65">
                  <v>2.819332669999999</v>
                </pt>
                <pt idx="66">
                  <v>2.710732399999999</v>
                </pt>
                <pt idx="67">
                  <v>2.724117549999999</v>
                </pt>
                <pt idx="68">
                  <v>2.756653749999999</v>
                </pt>
                <pt idx="69">
                  <v>2.660123249999999</v>
                </pt>
                <pt idx="70">
                  <v>2.758878199999999</v>
                </pt>
                <pt idx="71">
                  <v>2.625168279999999</v>
                </pt>
                <pt idx="72">
                  <v>2.976997829999999</v>
                </pt>
                <pt idx="73">
                  <v>2.919009809999999</v>
                </pt>
                <pt idx="74">
                  <v>2.875826329999999</v>
                </pt>
                <pt idx="75">
                  <v>2.785554929999999</v>
                </pt>
                <pt idx="76">
                  <v>2.774221429999999</v>
                </pt>
                <pt idx="77">
                  <v>2.647726379999999</v>
                </pt>
                <pt idx="78">
                  <v>2.660641529999999</v>
                </pt>
                <pt idx="79">
                  <v>2.471782019999999</v>
                </pt>
                <pt idx="80">
                  <v>2.227818219999999</v>
                </pt>
                <pt idx="81">
                  <v>2.122033329999999</v>
                </pt>
                <pt idx="82">
                  <v>2.046063089999999</v>
                </pt>
                <pt idx="83">
                  <v>2.068258319999999</v>
                </pt>
                <pt idx="84">
                  <v>2.153466519999999</v>
                </pt>
                <pt idx="85">
                  <v>2.276906839999999</v>
                </pt>
                <pt idx="86">
                  <v>2.357496459999999</v>
                </pt>
                <pt idx="87">
                  <v>2.208183309999999</v>
                </pt>
                <pt idx="88">
                  <v>2.397234479999999</v>
                </pt>
                <pt idx="89">
                  <v>2.375075069999999</v>
                </pt>
                <pt idx="90">
                  <v>2.146556869999999</v>
                </pt>
                <pt idx="91">
                  <v>1.954525659999999</v>
                </pt>
                <pt idx="92">
                  <v>1.977643709999999</v>
                </pt>
                <pt idx="93">
                  <v>1.782157599999999</v>
                </pt>
                <pt idx="94">
                  <v>1.804450639999999</v>
                </pt>
                <pt idx="95">
                  <v>1.786373929999999</v>
                </pt>
                <pt idx="96">
                  <v>1.933101939999999</v>
                </pt>
                <pt idx="97">
                  <v>1.836097989999999</v>
                </pt>
                <pt idx="98">
                  <v>1.904001699999999</v>
                </pt>
                <pt idx="99">
                  <v>1.758847509999999</v>
                </pt>
                <pt idx="100">
                  <v>1.657880849999999</v>
                </pt>
                <pt idx="101">
                  <v>1.644818219999999</v>
                </pt>
                <pt idx="102">
                  <v>1.597346329999999</v>
                </pt>
                <pt idx="103">
                  <v>1.654249039999999</v>
                </pt>
                <pt idx="104">
                  <v>1.687399349999998</v>
                </pt>
                <pt idx="105">
                  <v>1.690996529999998</v>
                </pt>
                <pt idx="106">
                  <v>1.701415249999999</v>
                </pt>
                <pt idx="107">
                  <v>1.746915209999998</v>
                </pt>
                <pt idx="108">
                  <v>1.870988519999998</v>
                </pt>
                <pt idx="109">
                  <v>1.592689669999999</v>
                </pt>
                <pt idx="110">
                  <v>1.666938009999999</v>
                </pt>
                <pt idx="111">
                  <v>1.530379919999999</v>
                </pt>
                <pt idx="112">
                  <v>1.509614259999999</v>
                </pt>
                <pt idx="113">
                  <v>1.529079629999999</v>
                </pt>
                <pt idx="114">
                  <v>1.571944399999999</v>
                </pt>
                <pt idx="115">
                  <v>1.755179129999999</v>
                </pt>
                <pt idx="116">
                  <v>1.804999979999999</v>
                </pt>
                <pt idx="117">
                  <v>1.814830509999999</v>
                </pt>
                <pt idx="118">
                  <v>1.757370329999999</v>
                </pt>
                <pt idx="119">
                  <v>1.701812339999998</v>
                </pt>
                <pt idx="120">
                  <v>1.632019579999999</v>
                </pt>
                <pt idx="121">
                  <v>1.602334239999999</v>
                </pt>
                <pt idx="122">
                  <v>1.329689909999999</v>
                </pt>
                <pt idx="123">
                  <v>1.227647729999999</v>
                </pt>
                <pt idx="124">
                  <v>1.296707929999999</v>
                </pt>
                <pt idx="125">
                  <v>1.394559149999999</v>
                </pt>
                <pt idx="126">
                  <v>1.207157319999999</v>
                </pt>
                <pt idx="127">
                  <v>1.225272449999999</v>
                </pt>
                <pt idx="128">
                  <v>1.518962429999998</v>
                </pt>
                <pt idx="129">
                  <v>1.601369569999998</v>
                </pt>
                <pt idx="130">
                  <v>1.470363419999998</v>
                </pt>
                <pt idx="131">
                  <v>1.412535859999998</v>
                </pt>
                <pt idx="132">
                  <v>1.392518269999999</v>
                </pt>
                <pt idx="133">
                  <v>1.306715209999999</v>
                </pt>
              </numCache>
            </numRef>
          </val>
          <smooth val="0"/>
        </ser>
        <ser>
          <idx val="5"/>
          <order val="5"/>
          <tx>
            <strRef>
              <f>畫圖!$B$17</f>
              <strCache>
                <ptCount val="1"/>
                <pt idx="0">
                  <v>241等分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畫圖!$C$17:$EF$17</f>
              <numCache>
                <formatCode>General</formatCode>
                <ptCount val="134"/>
                <pt idx="0">
                  <v>0.01038483</v>
                </pt>
                <pt idx="1">
                  <v>0.13677275</v>
                </pt>
                <pt idx="2">
                  <v>0.0930552</v>
                </pt>
                <pt idx="3">
                  <v>0.27709378</v>
                </pt>
                <pt idx="4">
                  <v>0.13325163</v>
                </pt>
                <pt idx="5">
                  <v>0.09540755000000001</v>
                </pt>
                <pt idx="6">
                  <v>-0.05184806</v>
                </pt>
                <pt idx="7">
                  <v>0.008587270000000001</v>
                </pt>
                <pt idx="8">
                  <v>0.2154673</v>
                </pt>
                <pt idx="9">
                  <v>0.15824113</v>
                </pt>
                <pt idx="10">
                  <v>0.05855654</v>
                </pt>
                <pt idx="11">
                  <v>0.19760722</v>
                </pt>
                <pt idx="12">
                  <v>0.30976649</v>
                </pt>
                <pt idx="13">
                  <v>0.34965821</v>
                </pt>
                <pt idx="14">
                  <v>0.60696828</v>
                </pt>
                <pt idx="15">
                  <v>0.7128039900000001</v>
                </pt>
                <pt idx="16">
                  <v>0.9219634700000001</v>
                </pt>
                <pt idx="17">
                  <v>0.9360038300000001</v>
                </pt>
                <pt idx="18">
                  <v>1.02228225</v>
                </pt>
                <pt idx="19">
                  <v>1.12765302</v>
                </pt>
                <pt idx="20">
                  <v>1.45057357</v>
                </pt>
                <pt idx="21">
                  <v>1.65837484</v>
                </pt>
                <pt idx="22">
                  <v>1.75110406</v>
                </pt>
                <pt idx="23">
                  <v>1.86530805</v>
                </pt>
                <pt idx="24">
                  <v>1.88479909</v>
                </pt>
                <pt idx="25">
                  <v>1.75665585</v>
                </pt>
                <pt idx="26">
                  <v>1.77548359</v>
                </pt>
                <pt idx="27">
                  <v>1.80141687</v>
                </pt>
                <pt idx="28">
                  <v>1.92952185</v>
                </pt>
                <pt idx="29">
                  <v>1.63437759</v>
                </pt>
                <pt idx="30">
                  <v>1.62333102</v>
                </pt>
                <pt idx="31">
                  <v>1.86368228</v>
                </pt>
                <pt idx="32">
                  <v>1.7959526</v>
                </pt>
                <pt idx="33">
                  <v>1.71701144</v>
                </pt>
                <pt idx="34">
                  <v>1.73532981</v>
                </pt>
                <pt idx="35">
                  <v>1.80070963</v>
                </pt>
                <pt idx="36">
                  <v>1.86556661</v>
                </pt>
                <pt idx="37">
                  <v>1.97752267</v>
                </pt>
                <pt idx="38">
                  <v>2.06309044</v>
                </pt>
                <pt idx="39">
                  <v>2.04414806</v>
                </pt>
                <pt idx="40">
                  <v>2.01955692</v>
                </pt>
                <pt idx="41">
                  <v>2.06754506</v>
                </pt>
                <pt idx="42">
                  <v>2.132000930000001</v>
                </pt>
                <pt idx="43">
                  <v>2.396839190000001</v>
                </pt>
                <pt idx="44">
                  <v>2.460294520000001</v>
                </pt>
                <pt idx="45">
                  <v>2.511192090000001</v>
                </pt>
                <pt idx="46">
                  <v>2.501401060000001</v>
                </pt>
                <pt idx="47">
                  <v>2.28368276</v>
                </pt>
                <pt idx="48">
                  <v>2.349405050000001</v>
                </pt>
                <pt idx="49">
                  <v>2.25634566</v>
                </pt>
                <pt idx="50">
                  <v>2.18531348</v>
                </pt>
                <pt idx="51">
                  <v>2.47982612</v>
                </pt>
                <pt idx="52">
                  <v>2.51814727</v>
                </pt>
                <pt idx="53">
                  <v>2.49639641</v>
                </pt>
                <pt idx="54">
                  <v>2.49004588</v>
                </pt>
                <pt idx="55">
                  <v>2.6891631</v>
                </pt>
                <pt idx="56">
                  <v>2.70240741</v>
                </pt>
                <pt idx="57">
                  <v>2.65435371</v>
                </pt>
                <pt idx="58">
                  <v>2.80822836</v>
                </pt>
                <pt idx="59">
                  <v>2.84021087</v>
                </pt>
                <pt idx="60">
                  <v>2.757237710000001</v>
                </pt>
                <pt idx="61">
                  <v>2.8445785</v>
                </pt>
                <pt idx="62">
                  <v>2.88537379</v>
                </pt>
                <pt idx="63">
                  <v>3.073621290000001</v>
                </pt>
                <pt idx="64">
                  <v>3.137478530000001</v>
                </pt>
                <pt idx="65">
                  <v>3.133297730000001</v>
                </pt>
                <pt idx="66">
                  <v>3.060406990000001</v>
                </pt>
                <pt idx="67">
                  <v>3.079212180000001</v>
                </pt>
                <pt idx="68">
                  <v>3.144954000000001</v>
                </pt>
                <pt idx="69">
                  <v>3.052001800000001</v>
                </pt>
                <pt idx="70">
                  <v>3.187498260000001</v>
                </pt>
                <pt idx="71">
                  <v>3.168257770000001</v>
                </pt>
                <pt idx="72">
                  <v>3.352718440000001</v>
                </pt>
                <pt idx="73">
                  <v>3.264339110000001</v>
                </pt>
                <pt idx="74">
                  <v>3.249422730000001</v>
                </pt>
                <pt idx="75">
                  <v>3.201759800000001</v>
                </pt>
                <pt idx="76">
                  <v>3.138727650000001</v>
                </pt>
                <pt idx="77">
                  <v>2.930857800000001</v>
                </pt>
                <pt idx="78">
                  <v>2.922838850000001</v>
                </pt>
                <pt idx="79">
                  <v>2.772050460000001</v>
                </pt>
                <pt idx="80">
                  <v>2.376974520000001</v>
                </pt>
                <pt idx="81">
                  <v>2.262448360000001</v>
                </pt>
                <pt idx="82">
                  <v>2.177363020000001</v>
                </pt>
                <pt idx="83">
                  <v>2.333989460000001</v>
                </pt>
                <pt idx="84">
                  <v>2.407172190000001</v>
                </pt>
                <pt idx="85">
                  <v>2.492799950000001</v>
                </pt>
                <pt idx="86">
                  <v>2.559959580000001</v>
                </pt>
                <pt idx="87">
                  <v>2.372526460000001</v>
                </pt>
                <pt idx="88">
                  <v>2.598029450000001</v>
                </pt>
                <pt idx="89">
                  <v>2.567490560000001</v>
                </pt>
                <pt idx="90">
                  <v>2.329698580000001</v>
                </pt>
                <pt idx="91">
                  <v>2.106998520000001</v>
                </pt>
                <pt idx="92">
                  <v>2.129910710000001</v>
                </pt>
                <pt idx="93">
                  <v>1.890850740000001</v>
                </pt>
                <pt idx="94">
                  <v>1.921758490000001</v>
                </pt>
                <pt idx="95">
                  <v>1.835685930000001</v>
                </pt>
                <pt idx="96">
                  <v>1.994602550000001</v>
                </pt>
                <pt idx="97">
                  <v>1.862975020000001</v>
                </pt>
                <pt idx="98">
                  <v>1.901320540000001</v>
                </pt>
                <pt idx="99">
                  <v>1.744351690000001</v>
                </pt>
                <pt idx="100">
                  <v>1.591899380000001</v>
                </pt>
                <pt idx="101">
                  <v>1.578052170000001</v>
                </pt>
                <pt idx="102">
                  <v>1.579244430000001</v>
                </pt>
                <pt idx="103">
                  <v>1.613707840000001</v>
                </pt>
                <pt idx="104">
                  <v>1.634836830000001</v>
                </pt>
                <pt idx="105">
                  <v>1.637655620000001</v>
                </pt>
                <pt idx="106">
                  <v>1.666633360000001</v>
                </pt>
                <pt idx="107">
                  <v>1.815442260000001</v>
                </pt>
                <pt idx="108">
                  <v>1.963627190000001</v>
                </pt>
                <pt idx="109">
                  <v>1.882191000000001</v>
                </pt>
                <pt idx="110">
                  <v>1.972340200000001</v>
                </pt>
                <pt idx="111">
                  <v>1.815734480000001</v>
                </pt>
                <pt idx="112">
                  <v>1.794768420000001</v>
                </pt>
                <pt idx="113">
                  <v>1.807505410000001</v>
                </pt>
                <pt idx="114">
                  <v>1.803250850000001</v>
                </pt>
                <pt idx="115">
                  <v>2.023546490000001</v>
                </pt>
                <pt idx="116">
                  <v>2.004987680000001</v>
                </pt>
                <pt idx="117">
                  <v>2.029253840000001</v>
                </pt>
                <pt idx="118">
                  <v>1.958831140000001</v>
                </pt>
                <pt idx="119">
                  <v>1.905274150000001</v>
                </pt>
                <pt idx="120">
                  <v>1.820668720000001</v>
                </pt>
                <pt idx="121">
                  <v>1.815453530000001</v>
                </pt>
                <pt idx="122">
                  <v>1.475646890000001</v>
                </pt>
                <pt idx="123">
                  <v>1.320748640000001</v>
                </pt>
                <pt idx="124">
                  <v>1.472331520000001</v>
                </pt>
                <pt idx="125">
                  <v>1.589160410000001</v>
                </pt>
                <pt idx="126">
                  <v>1.363498530000001</v>
                </pt>
                <pt idx="127">
                  <v>1.543389550000001</v>
                </pt>
                <pt idx="128">
                  <v>1.809446380000001</v>
                </pt>
                <pt idx="129">
                  <v>1.835748570000001</v>
                </pt>
                <pt idx="130">
                  <v>1.695654550000001</v>
                </pt>
                <pt idx="131">
                  <v>1.824809750000001</v>
                </pt>
                <pt idx="132">
                  <v>1.835765700000001</v>
                </pt>
                <pt idx="133">
                  <v>1.749668030000001</v>
                </pt>
              </numCache>
            </numRef>
          </val>
          <smooth val="0"/>
        </ser>
        <ser>
          <idx val="6"/>
          <order val="6"/>
          <tx>
            <strRef>
              <f>畫圖!$B$18</f>
              <strCache>
                <ptCount val="1"/>
                <pt idx="0">
                  <v>321等分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畫圖!$C$18:$EF$18</f>
              <numCache>
                <formatCode>General</formatCode>
                <ptCount val="134"/>
                <pt idx="0">
                  <v>0.02592233</v>
                </pt>
                <pt idx="1">
                  <v>0.16835018</v>
                </pt>
                <pt idx="2">
                  <v>0.14611977</v>
                </pt>
                <pt idx="3">
                  <v>0.21395083</v>
                </pt>
                <pt idx="4">
                  <v>0.11006647</v>
                </pt>
                <pt idx="5">
                  <v>-0.11973907</v>
                </pt>
                <pt idx="6">
                  <v>-0.24323224</v>
                </pt>
                <pt idx="7">
                  <v>-0.19063365</v>
                </pt>
                <pt idx="8">
                  <v>0.05473225999999998</v>
                </pt>
                <pt idx="9">
                  <v>-0.05275491000000003</v>
                </pt>
                <pt idx="10">
                  <v>-0.12685497</v>
                </pt>
                <pt idx="11">
                  <v>-0.02882411000000001</v>
                </pt>
                <pt idx="12">
                  <v>0.11465624</v>
                </pt>
                <pt idx="13">
                  <v>0.15751473</v>
                </pt>
                <pt idx="14">
                  <v>0.43429162</v>
                </pt>
                <pt idx="15">
                  <v>0.47092005</v>
                </pt>
                <pt idx="16">
                  <v>0.71797668</v>
                </pt>
                <pt idx="17">
                  <v>0.78962858</v>
                </pt>
                <pt idx="18">
                  <v>0.9002186</v>
                </pt>
                <pt idx="19">
                  <v>0.9572427299999999</v>
                </pt>
                <pt idx="20">
                  <v>1.30343622</v>
                </pt>
                <pt idx="21">
                  <v>1.56063857</v>
                </pt>
                <pt idx="22">
                  <v>1.6085769</v>
                </pt>
                <pt idx="23">
                  <v>1.68412517</v>
                </pt>
                <pt idx="24">
                  <v>1.69117319</v>
                </pt>
                <pt idx="25">
                  <v>1.55673698</v>
                </pt>
                <pt idx="26">
                  <v>1.64251344</v>
                </pt>
                <pt idx="27">
                  <v>1.66110719</v>
                </pt>
                <pt idx="28">
                  <v>1.79193103</v>
                </pt>
                <pt idx="29">
                  <v>1.36201426</v>
                </pt>
                <pt idx="30">
                  <v>1.35120216</v>
                </pt>
                <pt idx="31">
                  <v>1.59882441</v>
                </pt>
                <pt idx="32">
                  <v>1.53143151</v>
                </pt>
                <pt idx="33">
                  <v>1.48556538</v>
                </pt>
                <pt idx="34">
                  <v>1.56414115</v>
                </pt>
                <pt idx="35">
                  <v>1.60448212</v>
                </pt>
                <pt idx="36">
                  <v>1.68857102</v>
                </pt>
                <pt idx="37">
                  <v>1.79970383</v>
                </pt>
                <pt idx="38">
                  <v>1.95785671</v>
                </pt>
                <pt idx="39">
                  <v>1.93736398</v>
                </pt>
                <pt idx="40">
                  <v>1.922868</v>
                </pt>
                <pt idx="41">
                  <v>1.99079249</v>
                </pt>
                <pt idx="42">
                  <v>2.07360293</v>
                </pt>
                <pt idx="43">
                  <v>2.0913313</v>
                </pt>
                <pt idx="44">
                  <v>2.2012459</v>
                </pt>
                <pt idx="45">
                  <v>2.26089204</v>
                </pt>
                <pt idx="46">
                  <v>2.29104143</v>
                </pt>
                <pt idx="47">
                  <v>2.30091662</v>
                </pt>
                <pt idx="48">
                  <v>2.3993729</v>
                </pt>
                <pt idx="49">
                  <v>2.1718874</v>
                </pt>
                <pt idx="50">
                  <v>2.12628897</v>
                </pt>
                <pt idx="51">
                  <v>2.49583955</v>
                </pt>
                <pt idx="52">
                  <v>2.36500261</v>
                </pt>
                <pt idx="53">
                  <v>2.37795</v>
                </pt>
                <pt idx="54">
                  <v>2.35573382</v>
                </pt>
                <pt idx="55">
                  <v>2.55483627</v>
                </pt>
                <pt idx="56">
                  <v>2.60111578</v>
                </pt>
                <pt idx="57">
                  <v>2.47315524</v>
                </pt>
                <pt idx="58">
                  <v>2.5604733</v>
                </pt>
                <pt idx="59">
                  <v>2.550239319999999</v>
                </pt>
                <pt idx="60">
                  <v>2.529384559999999</v>
                </pt>
                <pt idx="61">
                  <v>2.668855949999999</v>
                </pt>
                <pt idx="62">
                  <v>2.671286429999999</v>
                </pt>
                <pt idx="63">
                  <v>2.642767619999999</v>
                </pt>
                <pt idx="64">
                  <v>2.693252049999999</v>
                </pt>
                <pt idx="65">
                  <v>2.692711049999999</v>
                </pt>
                <pt idx="66">
                  <v>2.60148286</v>
                </pt>
                <pt idx="67">
                  <v>2.622296469999999</v>
                </pt>
                <pt idx="68">
                  <v>2.719344059999999</v>
                </pt>
                <pt idx="69">
                  <v>2.786487279999999</v>
                </pt>
                <pt idx="70">
                  <v>2.999436049999999</v>
                </pt>
                <pt idx="71">
                  <v>2.998754289999999</v>
                </pt>
                <pt idx="72">
                  <v>3.13092608</v>
                </pt>
                <pt idx="73">
                  <v>2.97798871</v>
                </pt>
                <pt idx="74">
                  <v>3.010341589999999</v>
                </pt>
                <pt idx="75">
                  <v>2.963083849999999</v>
                </pt>
                <pt idx="76">
                  <v>2.935593769999999</v>
                </pt>
                <pt idx="77">
                  <v>2.680854509999999</v>
                </pt>
                <pt idx="78">
                  <v>2.555750509999999</v>
                </pt>
                <pt idx="79">
                  <v>2.239978849999999</v>
                </pt>
                <pt idx="80">
                  <v>1.846591509999999</v>
                </pt>
                <pt idx="81">
                  <v>1.745821149999999</v>
                </pt>
                <pt idx="82">
                  <v>1.538735819999999</v>
                </pt>
                <pt idx="83">
                  <v>1.692342099999999</v>
                </pt>
                <pt idx="84">
                  <v>1.756959419999999</v>
                </pt>
                <pt idx="85">
                  <v>1.860338929999999</v>
                </pt>
                <pt idx="86">
                  <v>1.971262469999999</v>
                </pt>
                <pt idx="87">
                  <v>1.876265459999999</v>
                </pt>
                <pt idx="88">
                  <v>2.196697459999999</v>
                </pt>
                <pt idx="89">
                  <v>2.205244229999999</v>
                </pt>
                <pt idx="90">
                  <v>2.019958469999999</v>
                </pt>
                <pt idx="91">
                  <v>1.760549909999999</v>
                </pt>
                <pt idx="92">
                  <v>1.777709529999999</v>
                </pt>
                <pt idx="93">
                  <v>1.530936759999999</v>
                </pt>
                <pt idx="94">
                  <v>1.555376349999999</v>
                </pt>
                <pt idx="95">
                  <v>1.429284969999999</v>
                </pt>
                <pt idx="96">
                  <v>1.596638879999999</v>
                </pt>
                <pt idx="97">
                  <v>1.467021379999999</v>
                </pt>
                <pt idx="98">
                  <v>1.489905419999999</v>
                </pt>
                <pt idx="99">
                  <v>1.435612119999999</v>
                </pt>
                <pt idx="100">
                  <v>1.273172249999999</v>
                </pt>
                <pt idx="101">
                  <v>1.265584999999999</v>
                </pt>
                <pt idx="102">
                  <v>1.261593249999999</v>
                </pt>
                <pt idx="103">
                  <v>1.291856609999999</v>
                </pt>
                <pt idx="104">
                  <v>1.303913009999999</v>
                </pt>
                <pt idx="105">
                  <v>1.335623179999999</v>
                </pt>
                <pt idx="106">
                  <v>1.317866679999999</v>
                </pt>
                <pt idx="107">
                  <v>1.414938389999999</v>
                </pt>
                <pt idx="108">
                  <v>1.503059799999999</v>
                </pt>
                <pt idx="109">
                  <v>1.421605419999999</v>
                </pt>
                <pt idx="110">
                  <v>1.502710959999999</v>
                </pt>
                <pt idx="111">
                  <v>1.349011199999999</v>
                </pt>
                <pt idx="112">
                  <v>1.325665019999999</v>
                </pt>
                <pt idx="113">
                  <v>1.328878349999999</v>
                </pt>
                <pt idx="114">
                  <v>1.286201799999999</v>
                </pt>
                <pt idx="115">
                  <v>1.591576829999999</v>
                </pt>
                <pt idx="116">
                  <v>1.615345499999999</v>
                </pt>
                <pt idx="117">
                  <v>1.617517819999998</v>
                </pt>
                <pt idx="118">
                  <v>1.452113649999998</v>
                </pt>
                <pt idx="119">
                  <v>1.380877349999998</v>
                </pt>
                <pt idx="120">
                  <v>1.251353509999998</v>
                </pt>
                <pt idx="121">
                  <v>1.278482259999998</v>
                </pt>
                <pt idx="122">
                  <v>0.9032133899999983</v>
                </pt>
                <pt idx="123">
                  <v>0.7461510199999983</v>
                </pt>
                <pt idx="124">
                  <v>0.8556540899999984</v>
                </pt>
                <pt idx="125">
                  <v>1.020006209999998</v>
                </pt>
                <pt idx="126">
                  <v>0.7022518399999982</v>
                </pt>
                <pt idx="127">
                  <v>0.8678780899999982</v>
                </pt>
                <pt idx="128">
                  <v>1.008234249999998</v>
                </pt>
                <pt idx="129">
                  <v>1.138000199999998</v>
                </pt>
                <pt idx="130">
                  <v>1.166429009999998</v>
                </pt>
                <pt idx="131">
                  <v>1.350110999999998</v>
                </pt>
                <pt idx="132">
                  <v>1.386010359999998</v>
                </pt>
                <pt idx="133">
                  <v>1.349414889999998</v>
                </pt>
              </numCache>
            </numRef>
          </val>
          <smooth val="0"/>
        </ser>
        <ser>
          <idx val="7"/>
          <order val="7"/>
          <tx>
            <strRef>
              <f>畫圖!$B$19</f>
              <strCache>
                <ptCount val="1"/>
                <pt idx="0">
                  <v>大盤</v>
                </pt>
              </strCache>
            </strRef>
          </tx>
          <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畫圖!$C$11:$EF$11</f>
              <strCache>
                <ptCount val="134"/>
                <pt idx="0">
                  <v>2014/01</v>
                </pt>
                <pt idx="1">
                  <v>2014/02</v>
                </pt>
                <pt idx="2">
                  <v>2014/03</v>
                </pt>
                <pt idx="3">
                  <v>2014/04</v>
                </pt>
                <pt idx="4">
                  <v>2014/05</v>
                </pt>
                <pt idx="5">
                  <v>2014/06</v>
                </pt>
                <pt idx="6">
                  <v>2014/07</v>
                </pt>
                <pt idx="7">
                  <v>2014/08</v>
                </pt>
                <pt idx="8">
                  <v>2014/09</v>
                </pt>
                <pt idx="9">
                  <v>2014/10</v>
                </pt>
                <pt idx="10">
                  <v>2014/11</v>
                </pt>
                <pt idx="11">
                  <v>2014/12</v>
                </pt>
                <pt idx="12">
                  <v>2015/01</v>
                </pt>
                <pt idx="13">
                  <v>2015/02</v>
                </pt>
                <pt idx="14">
                  <v>2015/03</v>
                </pt>
                <pt idx="15">
                  <v>2015/04</v>
                </pt>
                <pt idx="16">
                  <v>2015/05</v>
                </pt>
                <pt idx="17">
                  <v>2015/06</v>
                </pt>
                <pt idx="18">
                  <v>2015/07</v>
                </pt>
                <pt idx="19">
                  <v>2015/08</v>
                </pt>
                <pt idx="20">
                  <v>2015/09</v>
                </pt>
                <pt idx="21">
                  <v>2015/10</v>
                </pt>
                <pt idx="22">
                  <v>2015/11</v>
                </pt>
                <pt idx="23">
                  <v>2015/12</v>
                </pt>
                <pt idx="24">
                  <v>2016/01</v>
                </pt>
                <pt idx="25">
                  <v>2016/02</v>
                </pt>
                <pt idx="26">
                  <v>2016/03</v>
                </pt>
                <pt idx="27">
                  <v>2016/04</v>
                </pt>
                <pt idx="28">
                  <v>2016/05</v>
                </pt>
                <pt idx="29">
                  <v>2016/06</v>
                </pt>
                <pt idx="30">
                  <v>2016/07</v>
                </pt>
                <pt idx="31">
                  <v>2016/08</v>
                </pt>
                <pt idx="32">
                  <v>2016/09</v>
                </pt>
                <pt idx="33">
                  <v>2016/10</v>
                </pt>
                <pt idx="34">
                  <v>2016/11</v>
                </pt>
                <pt idx="35">
                  <v>2016/12</v>
                </pt>
                <pt idx="36">
                  <v>2017/01</v>
                </pt>
                <pt idx="37">
                  <v>2017/02</v>
                </pt>
                <pt idx="38">
                  <v>2017/03</v>
                </pt>
                <pt idx="39">
                  <v>2017/04</v>
                </pt>
                <pt idx="40">
                  <v>2017/05</v>
                </pt>
                <pt idx="41">
                  <v>2017/06</v>
                </pt>
                <pt idx="42">
                  <v>2017/07</v>
                </pt>
                <pt idx="43">
                  <v>2017/08</v>
                </pt>
                <pt idx="44">
                  <v>2017/09</v>
                </pt>
                <pt idx="45">
                  <v>2017/10</v>
                </pt>
                <pt idx="46">
                  <v>2017/11</v>
                </pt>
                <pt idx="47">
                  <v>2017/12</v>
                </pt>
                <pt idx="48">
                  <v>2018/01</v>
                </pt>
                <pt idx="49">
                  <v>2018/02</v>
                </pt>
                <pt idx="50">
                  <v>2018/03</v>
                </pt>
                <pt idx="51">
                  <v>2018/04</v>
                </pt>
                <pt idx="52">
                  <v>2018/05</v>
                </pt>
                <pt idx="53">
                  <v>2018/06</v>
                </pt>
                <pt idx="54">
                  <v>2018/07</v>
                </pt>
                <pt idx="55">
                  <v>2018/08</v>
                </pt>
                <pt idx="56">
                  <v>2018/09</v>
                </pt>
                <pt idx="57">
                  <v>2018/10</v>
                </pt>
                <pt idx="58">
                  <v>2018/11</v>
                </pt>
                <pt idx="59">
                  <v>2018/12</v>
                </pt>
                <pt idx="60">
                  <v>2019/01</v>
                </pt>
                <pt idx="61">
                  <v>2019/02</v>
                </pt>
                <pt idx="62">
                  <v>2019/03</v>
                </pt>
                <pt idx="63">
                  <v>2019/04</v>
                </pt>
                <pt idx="64">
                  <v>2019/05</v>
                </pt>
                <pt idx="65">
                  <v>2019/06</v>
                </pt>
                <pt idx="66">
                  <v>2019/07</v>
                </pt>
                <pt idx="67">
                  <v>2019/08</v>
                </pt>
                <pt idx="68">
                  <v>2019/09</v>
                </pt>
                <pt idx="69">
                  <v>2019/10</v>
                </pt>
                <pt idx="70">
                  <v>2019/11</v>
                </pt>
                <pt idx="71">
                  <v>2019/12</v>
                </pt>
                <pt idx="72">
                  <v>2020/01</v>
                </pt>
                <pt idx="73">
                  <v>2020/02</v>
                </pt>
                <pt idx="74">
                  <v>2020/03</v>
                </pt>
                <pt idx="75">
                  <v>2020/04</v>
                </pt>
                <pt idx="76">
                  <v>2020/05</v>
                </pt>
                <pt idx="77">
                  <v>2020/06</v>
                </pt>
                <pt idx="78">
                  <v>2020/07</v>
                </pt>
                <pt idx="79">
                  <v>2020/08</v>
                </pt>
                <pt idx="80">
                  <v>2020/09</v>
                </pt>
                <pt idx="81">
                  <v>2020/10</v>
                </pt>
                <pt idx="82">
                  <v>2020/11</v>
                </pt>
                <pt idx="83">
                  <v>2020/12</v>
                </pt>
                <pt idx="84">
                  <v>2021/01</v>
                </pt>
                <pt idx="85">
                  <v>2021/02</v>
                </pt>
                <pt idx="86">
                  <v>2021/03</v>
                </pt>
                <pt idx="87">
                  <v>2021/04</v>
                </pt>
                <pt idx="88">
                  <v>2021/05</v>
                </pt>
                <pt idx="89">
                  <v>2021/06</v>
                </pt>
                <pt idx="90">
                  <v>2021/07</v>
                </pt>
                <pt idx="91">
                  <v>2021/08</v>
                </pt>
                <pt idx="92">
                  <v>2021/09</v>
                </pt>
                <pt idx="93">
                  <v>2021/10</v>
                </pt>
                <pt idx="94">
                  <v>2021/11</v>
                </pt>
                <pt idx="95">
                  <v>2021/12</v>
                </pt>
                <pt idx="96">
                  <v>2022/01</v>
                </pt>
                <pt idx="97">
                  <v>2022/02</v>
                </pt>
                <pt idx="98">
                  <v>2022/03</v>
                </pt>
                <pt idx="99">
                  <v>2022/04</v>
                </pt>
                <pt idx="100">
                  <v>2022/05</v>
                </pt>
                <pt idx="101">
                  <v>2022/06</v>
                </pt>
                <pt idx="102">
                  <v>2022/07</v>
                </pt>
                <pt idx="103">
                  <v>2022/08</v>
                </pt>
                <pt idx="104">
                  <v>2022/09</v>
                </pt>
                <pt idx="105">
                  <v>2022/10</v>
                </pt>
                <pt idx="106">
                  <v>2022/11</v>
                </pt>
                <pt idx="107">
                  <v>2022/12</v>
                </pt>
                <pt idx="108">
                  <v>2023/01</v>
                </pt>
                <pt idx="109">
                  <v>2023/02</v>
                </pt>
                <pt idx="110">
                  <v>2023/03</v>
                </pt>
                <pt idx="111">
                  <v>2023/04</v>
                </pt>
                <pt idx="112">
                  <v>2023/05</v>
                </pt>
                <pt idx="113">
                  <v>2023/06</v>
                </pt>
                <pt idx="114">
                  <v>2023/07</v>
                </pt>
                <pt idx="115">
                  <v>2023/08</v>
                </pt>
                <pt idx="116">
                  <v>2023/09</v>
                </pt>
                <pt idx="117">
                  <v>2023/10</v>
                </pt>
                <pt idx="118">
                  <v>2023/11</v>
                </pt>
                <pt idx="119">
                  <v>2023/12</v>
                </pt>
                <pt idx="120">
                  <v>2024/01</v>
                </pt>
                <pt idx="121">
                  <v>2024/02</v>
                </pt>
                <pt idx="122">
                  <v>2024/03</v>
                </pt>
                <pt idx="123">
                  <v>2024/04</v>
                </pt>
                <pt idx="124">
                  <v>2024/05</v>
                </pt>
                <pt idx="125">
                  <v>2024/06</v>
                </pt>
                <pt idx="126">
                  <v>2024/07</v>
                </pt>
                <pt idx="127">
                  <v>2024/08</v>
                </pt>
                <pt idx="128">
                  <v>2024/09</v>
                </pt>
                <pt idx="129">
                  <v>2024/10</v>
                </pt>
                <pt idx="130">
                  <v>2024/11</v>
                </pt>
                <pt idx="131">
                  <v>2024/12</v>
                </pt>
                <pt idx="132">
                  <v>2025/01</v>
                </pt>
                <pt idx="133">
                  <v>2025/02</v>
                </pt>
              </strCache>
            </strRef>
          </cat>
          <val>
            <numRef>
              <f>畫圖!$C$19:$EF$19</f>
              <numCache>
                <formatCode>General</formatCode>
                <ptCount val="134"/>
                <pt idx="0">
                  <v>-0.0174467705393903</v>
                </pt>
                <pt idx="1">
                  <v>0.00325428999242533</v>
                </pt>
                <pt idx="2">
                  <v>0.02723641924719204</v>
                </pt>
                <pt idx="3">
                  <v>0.02067884027436896</v>
                </pt>
                <pt idx="4">
                  <v>0.05252397007488865</v>
                </pt>
                <pt idx="5">
                  <v>0.08687250281187917</v>
                </pt>
                <pt idx="6">
                  <v>0.07861757003055393</v>
                </pt>
                <pt idx="7">
                  <v>0.09146109442460669</v>
                </pt>
                <pt idx="8">
                  <v>0.04044256979781587</v>
                </pt>
                <pt idx="9">
                  <v>0.04131651253885246</v>
                </pt>
                <pt idx="10">
                  <v>0.06470608804434838</v>
                </pt>
                <pt idx="11">
                  <v>0.07769506024468123</v>
                </pt>
                <pt idx="12">
                  <v>0.08354964897031611</v>
                </pt>
                <pt idx="13">
                  <v>0.1109628555421067</v>
                </pt>
                <pt idx="14">
                  <v>0.1072499194244138</v>
                </pt>
                <pt idx="15">
                  <v>0.1313265334722371</v>
                </pt>
                <pt idx="16">
                  <v>0.1191365081731972</v>
                </pt>
                <pt idx="17">
                  <v>0.07938693001360758</v>
                </pt>
                <pt idx="18">
                  <v>0.00623148018195803</v>
                </pt>
                <pt idx="19">
                  <v>-0.05202874972815663</v>
                </pt>
                <pt idx="20">
                  <v>-0.05125595216264826</v>
                </pt>
                <pt idx="21">
                  <v>-0.006664431027429286</v>
                </pt>
                <pt idx="22">
                  <v>-0.03436411107764238</v>
                </pt>
                <pt idx="23">
                  <v>-0.03226910512789873</v>
                </pt>
                <pt idx="24">
                  <v>-0.05566965612046285</v>
                </pt>
                <pt idx="25">
                  <v>-0.02354028502314066</v>
                </pt>
                <pt idx="26">
                  <v>0.01536298807092577</v>
                </pt>
                <pt idx="27">
                  <v>-0.0275023941001785</v>
                </pt>
                <pt idx="28">
                  <v>-0.008855199550026338</v>
                </pt>
                <pt idx="29">
                  <v>0.006374568772502611</v>
                </pt>
                <pt idx="30">
                  <v>0.04239117255139503</v>
                </pt>
                <pt idx="31">
                  <v>0.0517457839367112</v>
                </pt>
                <pt idx="32">
                  <v>0.06249403527354934</v>
                </pt>
                <pt idx="33">
                  <v>0.07585178932663031</v>
                </pt>
                <pt idx="34">
                  <v>0.07051904199753492</v>
                </pt>
                <pt idx="35">
                  <v>0.0719021778047966</v>
                </pt>
                <pt idx="36">
                  <v>0.09269810622487107</v>
                </pt>
                <pt idx="37">
                  <v>0.1242158084452617</v>
                </pt>
                <pt idx="38">
                  <v>0.1304575249785911</v>
                </pt>
                <pt idx="39">
                  <v>0.1366027866321625</v>
                </pt>
                <pt idx="40">
                  <v>0.153549144308859</v>
                </pt>
                <pt idx="41">
                  <v>0.1882319747631672</v>
                </pt>
                <pt idx="42">
                  <v>0.1913305633803642</v>
                </pt>
                <pt idx="43">
                  <v>0.2064119105238503</v>
                </pt>
                <pt idx="44">
                  <v>0.1871607012939863</v>
                </pt>
                <pt idx="45">
                  <v>0.2258722146816178</v>
                </pt>
                <pt idx="46">
                  <v>0.2040152635458812</v>
                </pt>
                <pt idx="47">
                  <v>0.2117895642556709</v>
                </pt>
                <pt idx="48">
                  <v>0.2541868109509968</v>
                </pt>
                <pt idx="49">
                  <v>0.2278778360898371</v>
                </pt>
                <pt idx="50">
                  <v>0.2374495853985533</v>
                </pt>
                <pt idx="51">
                  <v>0.2131998441322785</v>
                </pt>
                <pt idx="52">
                  <v>0.2333632182761943</v>
                </pt>
                <pt idx="53">
                  <v>0.2298582194940783</v>
                </pt>
                <pt idx="54">
                  <v>0.2500101545926206</v>
                </pt>
                <pt idx="55">
                  <v>0.2505914908233909</v>
                </pt>
                <pt idx="56">
                  <v>0.2453717898701383</v>
                </pt>
                <pt idx="57">
                  <v>0.1295000284680083</v>
                </pt>
                <pt idx="58">
                  <v>0.1382252541604456</v>
                </pt>
                <pt idx="59">
                  <v>0.1218479931826235</v>
                </pt>
                <pt idx="60">
                  <v>0.1426883647828839</v>
                </pt>
                <pt idx="61">
                  <v>0.1876642368849986</v>
                </pt>
                <pt idx="62">
                  <v>0.2116185429668625</v>
                </pt>
                <pt idx="63">
                  <v>0.2418576443583051</v>
                </pt>
                <pt idx="64">
                  <v>0.1981317567672176</v>
                </pt>
                <pt idx="65">
                  <v>0.2200212263354162</v>
                </pt>
                <pt idx="66">
                  <v>0.2286486565989246</v>
                </pt>
                <pt idx="67">
                  <v>0.2094557026042658</v>
                </pt>
                <pt idx="68">
                  <v>0.2291908324923989</v>
                </pt>
                <pt idx="69">
                  <v>0.2768851699760983</v>
                </pt>
                <pt idx="70">
                  <v>0.2883399867826817</v>
                </pt>
                <pt idx="71">
                  <v>0.3315686075178949</v>
                </pt>
                <pt idx="72">
                  <v>0.288821177080972</v>
                </pt>
                <pt idx="73">
                  <v>0.2710098846531775</v>
                </pt>
                <pt idx="74">
                  <v>0.1198567877841019</v>
                </pt>
                <pt idx="75">
                  <v>0.2440807914036772</v>
                </pt>
                <pt idx="76">
                  <v>0.2395235375591475</v>
                </pt>
                <pt idx="77">
                  <v>0.2997347777640587</v>
                </pt>
                <pt idx="78">
                  <v>0.385726811246561</v>
                </pt>
                <pt idx="79">
                  <v>0.3799183316641949</v>
                </pt>
                <pt idx="80">
                  <v>0.3738769846752268</v>
                </pt>
                <pt idx="81">
                  <v>0.3763293090474789</v>
                </pt>
                <pt idx="82">
                  <v>0.4659655609845018</v>
                </pt>
                <pt idx="83">
                  <v>0.5369582935112597</v>
                </pt>
                <pt idx="84">
                  <v>0.5641289364130431</v>
                </pt>
                <pt idx="85">
                  <v>0.6165973648383731</v>
                </pt>
                <pt idx="86">
                  <v>0.6460780257814226</v>
                </pt>
                <pt idx="87">
                  <v>0.7129031068416238</v>
                </pt>
                <pt idx="88">
                  <v>0.6841308778218068</v>
                </pt>
                <pt idx="89">
                  <v>0.7235933937234447</v>
                </pt>
                <pt idx="90">
                  <v>0.6945623067460848</v>
                </pt>
                <pt idx="91">
                  <v>0.7085461892655527</v>
                </pt>
                <pt idx="92">
                  <v>0.6762692243062188</v>
                </pt>
                <pt idx="93">
                  <v>0.6793728009191129</v>
                </pt>
                <pt idx="94">
                  <v>0.704964656686196</v>
                </pt>
                <pt idx="95">
                  <v>0.7493565429733893</v>
                </pt>
                <pt idx="96">
                  <v>0.7190175844238118</v>
                </pt>
                <pt idx="97">
                  <v>0.7177596079692401</v>
                </pt>
                <pt idx="98">
                  <v>0.720095964425098</v>
                </pt>
                <pt idx="99">
                  <v>0.655831819499192</v>
                </pt>
                <pt idx="100">
                  <v>0.6687415989581844</v>
                </pt>
                <pt idx="101">
                  <v>0.5432645042873256</v>
                </pt>
                <pt idx="102">
                  <v>0.5549551872271182</v>
                </pt>
                <pt idx="103">
                  <v>0.56129303092786</v>
                </pt>
                <pt idx="104">
                  <v>0.4439876744584745</v>
                </pt>
                <pt idx="105">
                  <v>0.4079768024090279</v>
                </pt>
                <pt idx="106">
                  <v>0.5468881064812958</v>
                </pt>
                <pt idx="107">
                  <v>0.4957446002551901</v>
                </pt>
                <pt idx="108">
                  <v>0.5724760474371591</v>
                </pt>
                <pt idx="109">
                  <v>0.5879848296341672</v>
                </pt>
                <pt idx="110">
                  <v>0.611208603308923</v>
                </pt>
                <pt idx="111">
                  <v>0.5928357269476952</v>
                </pt>
                <pt idx="112">
                  <v>0.6550347410327946</v>
                </pt>
                <pt idx="113">
                  <v>0.6751330455197517</v>
                </pt>
                <pt idx="114">
                  <v>0.6886319852678198</v>
                </pt>
                <pt idx="115">
                  <v>0.6583797725393989</v>
                </pt>
                <pt idx="116">
                  <v>0.6413569368313451</v>
                </pt>
                <pt idx="117">
                  <v>0.6195684135588831</v>
                </pt>
                <pt idx="118">
                  <v>0.7053140381440204</v>
                </pt>
                <pt idx="119">
                  <v>0.7334207817489942</v>
                </pt>
                <pt idx="120">
                  <v>0.7311176219416348</v>
                </pt>
                <pt idx="121">
                  <v>0.7895888200731223</v>
                </pt>
                <pt idx="122">
                  <v>0.8572477691217699</v>
                </pt>
                <pt idx="123">
                  <v>0.8622685397622022</v>
                </pt>
                <pt idx="124">
                  <v>0.8996847234374092</v>
                </pt>
                <pt idx="125">
                  <v>0.9837957271834513</v>
                </pt>
                <pt idx="126">
                  <v>0.9469633286394384</v>
                </pt>
                <pt idx="127">
                  <v>0.9500550314563755</v>
                </pt>
                <pt idx="128">
                  <v>0.9480974032420809</v>
                </pt>
                <pt idx="129">
                  <v>0.9745565068456007</v>
                </pt>
                <pt idx="130">
                  <v>0.9498039680849104</v>
                </pt>
                <pt idx="131">
                  <v>0.9839194590674704</v>
                </pt>
                <pt idx="132">
                  <v>1.004981433056503</v>
                </pt>
                <pt idx="133">
                  <v>0.9847040409964445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13040783"/>
        <axId val="1013037871"/>
      </lineChart>
      <catAx>
        <axId val="10130407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13037871"/>
        <crosses val="autoZero"/>
        <auto val="1"/>
        <lblAlgn val="ctr"/>
        <lblOffset val="100"/>
        <noMultiLvlLbl val="0"/>
      </catAx>
      <valAx>
        <axId val="10130378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1304078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366623</colOff>
      <row>20</row>
      <rowOff>107827</rowOff>
    </from>
    <to>
      <col>17</col>
      <colOff>948905</colOff>
      <row>47</row>
      <rowOff>150962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C6" sqref="C6:EF8"/>
    </sheetView>
  </sheetViews>
  <sheetFormatPr baseColWidth="8" defaultColWidth="8.88671875" defaultRowHeight="15.6"/>
  <cols>
    <col width="8.88671875" customWidth="1" style="4" min="1" max="140"/>
    <col width="8.88671875" customWidth="1" style="4" min="141" max="16384"/>
  </cols>
  <sheetData>
    <row r="1" ht="16.2" customHeight="1" s="54" thickBot="1">
      <c r="A1" s="2" t="inlineStr">
        <is>
          <t>Real</t>
        </is>
      </c>
      <c r="B1" s="3" t="n"/>
    </row>
    <row r="2" ht="16.2" customHeight="1" s="54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2" customHeight="1" s="54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2" customHeight="1" s="54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2" customHeight="1" s="54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50" t="inlineStr">
        <is>
          <t>選絕對值最大</t>
        </is>
      </c>
      <c r="B6" s="51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2" customHeight="1" s="54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2" customHeight="1" s="54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2" customHeight="1" s="54" thickBot="1"/>
    <row r="10" ht="17.7" customHeight="1" s="54" thickBot="1">
      <c r="A10" s="50" t="inlineStr">
        <is>
          <t>投資組合</t>
        </is>
      </c>
      <c r="B10" s="51" t="n"/>
      <c r="C10" s="13" t="inlineStr">
        <is>
          <t>公司數</t>
        </is>
      </c>
      <c r="D10" s="50" t="n">
        <v>964</v>
      </c>
    </row>
    <row r="11" ht="17.7" customHeight="1" s="54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2" customFormat="1" customHeight="1" s="8" thickBot="1">
      <c r="A12" s="50" t="n">
        <v>10</v>
      </c>
      <c r="B12" s="50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2" customFormat="1" customHeight="1" s="8" thickBot="1">
      <c r="A13" s="50" t="n">
        <v>20</v>
      </c>
      <c r="B13" s="50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2" customFormat="1" customHeight="1" s="8" thickBot="1">
      <c r="A14" s="50" t="n">
        <v>50</v>
      </c>
      <c r="B14" s="50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2" customFormat="1" customHeight="1" s="8" thickBot="1">
      <c r="A15" s="50" t="n">
        <v>100</v>
      </c>
      <c r="B15" s="50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2" customFormat="1" customHeight="1" s="8" thickBot="1">
      <c r="A16" s="50" t="n">
        <v>107</v>
      </c>
      <c r="B16" s="50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2" customFormat="1" customHeight="1" s="8" thickBot="1">
      <c r="A17" s="50" t="n">
        <v>120</v>
      </c>
      <c r="B17" s="50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2" customFormat="1" customHeight="1" s="8" thickBot="1">
      <c r="A18" s="50" t="n">
        <v>137</v>
      </c>
      <c r="B18" s="50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2" customFormat="1" customHeight="1" s="8" thickBot="1">
      <c r="A19" s="50" t="n">
        <v>160</v>
      </c>
      <c r="B19" s="50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2" customFormat="1" customHeight="1" s="8" thickBot="1">
      <c r="A20" s="50" t="n">
        <v>192</v>
      </c>
      <c r="B20" s="50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2" customFormat="1" customHeight="1" s="8" thickBot="1">
      <c r="A21" s="50" t="n">
        <v>241</v>
      </c>
      <c r="B21" s="50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2" customFormat="1" customHeight="1" s="8" thickBot="1">
      <c r="A22" s="50" t="n">
        <v>321</v>
      </c>
      <c r="B22" s="50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2" customFormat="1" customHeight="1" s="8" thickBot="1">
      <c r="A23" s="50" t="n">
        <v>482</v>
      </c>
      <c r="B23" s="50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2" customFormat="1" customHeight="1" s="8" thickBot="1">
      <c r="A24" s="50" t="n">
        <v>964</v>
      </c>
      <c r="B24" s="50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2" customHeight="1" s="54" thickBot="1"/>
    <row r="26" ht="17.7" customHeight="1" s="54" thickBot="1">
      <c r="A26" s="13" t="inlineStr">
        <is>
          <t>大盤</t>
        </is>
      </c>
      <c r="B26" s="50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topLeftCell="DJ1" zoomScaleNormal="100" workbookViewId="0">
      <selection activeCell="C12" sqref="C12:EF24"/>
    </sheetView>
  </sheetViews>
  <sheetFormatPr baseColWidth="8" defaultColWidth="8.88671875" defaultRowHeight="15.6"/>
  <cols>
    <col width="8.88671875" customWidth="1" style="4" min="1" max="140"/>
    <col width="8.88671875" customWidth="1" style="4" min="141" max="16384"/>
  </cols>
  <sheetData>
    <row r="1" ht="16.2" customHeight="1" s="54" thickBot="1">
      <c r="A1" s="2" t="inlineStr">
        <is>
          <t>OLS</t>
        </is>
      </c>
      <c r="B1" s="3" t="n"/>
    </row>
    <row r="2" ht="16.2" customHeight="1" s="54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2" customHeight="1" s="54" thickBot="1">
      <c r="A3" s="5" t="n"/>
      <c r="B3" s="1" t="inlineStr">
        <is>
          <t>bm</t>
        </is>
      </c>
      <c r="C3" s="10" t="n">
        <v>0.036997</v>
      </c>
      <c r="D3" s="10" t="n">
        <v>0.033298</v>
      </c>
      <c r="E3" s="10" t="n">
        <v>0.015422</v>
      </c>
      <c r="F3" s="10" t="n">
        <v>0.016457</v>
      </c>
      <c r="G3" s="10" t="n">
        <v>0.017226</v>
      </c>
      <c r="H3" s="10" t="n">
        <v>0.028764</v>
      </c>
      <c r="I3" s="10" t="n">
        <v>0.024279</v>
      </c>
      <c r="J3" s="10" t="n">
        <v>0.027316</v>
      </c>
      <c r="K3" s="10" t="n">
        <v>0.030174</v>
      </c>
      <c r="L3" s="10" t="n">
        <v>0.025236</v>
      </c>
      <c r="M3" s="10" t="n">
        <v>0.032729</v>
      </c>
      <c r="N3" s="10" t="n">
        <v>0.031555</v>
      </c>
      <c r="O3" s="10" t="n">
        <v>0.034033</v>
      </c>
      <c r="P3" s="10" t="n">
        <v>0.033213</v>
      </c>
      <c r="Q3" s="10" t="n">
        <v>0.029103</v>
      </c>
      <c r="R3" s="10" t="n">
        <v>0.026474</v>
      </c>
      <c r="S3" s="10" t="n">
        <v>0.028295</v>
      </c>
      <c r="T3" s="10" t="n">
        <v>0.022621</v>
      </c>
      <c r="U3" s="10" t="n">
        <v>0.016144</v>
      </c>
      <c r="V3" s="10" t="n">
        <v>0.025033</v>
      </c>
      <c r="W3" s="10" t="n">
        <v>0.045784</v>
      </c>
      <c r="X3" s="10" t="n">
        <v>0.043058</v>
      </c>
      <c r="Y3" s="10" t="n">
        <v>0.037786</v>
      </c>
      <c r="Z3" s="10" t="n">
        <v>0.024097</v>
      </c>
      <c r="AA3" s="10" t="n">
        <v>0.030094</v>
      </c>
      <c r="AB3" s="10" t="n">
        <v>0.028087</v>
      </c>
      <c r="AC3" s="10" t="n">
        <v>0.033771</v>
      </c>
      <c r="AD3" s="10" t="n">
        <v>0.034132</v>
      </c>
      <c r="AE3" s="10" t="n">
        <v>0.034141</v>
      </c>
      <c r="AF3" s="10" t="n">
        <v>0.013118</v>
      </c>
      <c r="AG3" s="10" t="n">
        <v>0.024857</v>
      </c>
      <c r="AH3" s="10" t="n">
        <v>0.031884</v>
      </c>
      <c r="AI3" s="10" t="n">
        <v>0.036386</v>
      </c>
      <c r="AJ3" s="10" t="n">
        <v>0.035949</v>
      </c>
      <c r="AK3" s="10" t="n">
        <v>0.043483</v>
      </c>
      <c r="AL3" s="10" t="n">
        <v>0.038462</v>
      </c>
      <c r="AM3" s="10" t="n">
        <v>0.03941</v>
      </c>
      <c r="AN3" s="10" t="n">
        <v>0.050744</v>
      </c>
      <c r="AO3" s="10" t="n">
        <v>0.053685</v>
      </c>
      <c r="AP3" s="10" t="n">
        <v>0.049315</v>
      </c>
      <c r="AQ3" s="10" t="n">
        <v>0.032774</v>
      </c>
      <c r="AR3" s="10" t="n">
        <v>0.028295</v>
      </c>
      <c r="AS3" s="10" t="n">
        <v>0.028378</v>
      </c>
      <c r="AT3" s="10" t="n">
        <v>0.023069</v>
      </c>
      <c r="AU3" s="10" t="n">
        <v>0.029397</v>
      </c>
      <c r="AV3" s="10" t="n">
        <v>0.031038</v>
      </c>
      <c r="AW3" s="10" t="n">
        <v>0.026298</v>
      </c>
      <c r="AX3" s="10" t="n">
        <v>0.026165</v>
      </c>
      <c r="AY3" s="10" t="n">
        <v>0.032054</v>
      </c>
      <c r="AZ3" s="10" t="n">
        <v>0.034478</v>
      </c>
      <c r="BA3" s="10" t="n">
        <v>0.029332</v>
      </c>
      <c r="BB3" s="10" t="n">
        <v>0.034325</v>
      </c>
      <c r="BC3" s="10" t="n">
        <v>0.037422</v>
      </c>
      <c r="BD3" s="10" t="n">
        <v>0.031414</v>
      </c>
      <c r="BE3" s="10" t="n">
        <v>0.032006</v>
      </c>
      <c r="BF3" s="10" t="n">
        <v>0.028282</v>
      </c>
      <c r="BG3" s="10" t="n">
        <v>0.041103</v>
      </c>
      <c r="BH3" s="10" t="n">
        <v>0.045199</v>
      </c>
      <c r="BI3" s="10" t="n">
        <v>0.041588</v>
      </c>
      <c r="BJ3" s="10" t="n">
        <v>0.040723</v>
      </c>
      <c r="BK3" s="10" t="n">
        <v>0.036328</v>
      </c>
      <c r="BL3" s="10" t="n">
        <v>0.036173</v>
      </c>
      <c r="BM3" s="10" t="n">
        <v>0.037709</v>
      </c>
      <c r="BN3" s="10" t="n">
        <v>0.030814</v>
      </c>
      <c r="BO3" s="10" t="n">
        <v>0.030656</v>
      </c>
      <c r="BP3" s="10" t="n">
        <v>0.0344</v>
      </c>
      <c r="BQ3" s="10" t="n">
        <v>0.034869</v>
      </c>
      <c r="BR3" s="10" t="n">
        <v>0.036324</v>
      </c>
      <c r="BS3" s="10" t="n">
        <v>0.036164</v>
      </c>
      <c r="BT3" s="10" t="n">
        <v>0.038669</v>
      </c>
      <c r="BU3" s="10" t="n">
        <v>0.041103</v>
      </c>
      <c r="BV3" s="10" t="n">
        <v>0.028684</v>
      </c>
      <c r="BW3" s="10" t="n">
        <v>0.035217</v>
      </c>
      <c r="BX3" s="10" t="n">
        <v>0.040767</v>
      </c>
      <c r="BY3" s="10" t="n">
        <v>0.021604</v>
      </c>
      <c r="BZ3" s="10" t="n">
        <v>0.030434</v>
      </c>
      <c r="CA3" s="10" t="n">
        <v>0.037312</v>
      </c>
      <c r="CB3" s="10" t="n">
        <v>0.027612</v>
      </c>
      <c r="CC3" s="10" t="n">
        <v>0.019743</v>
      </c>
      <c r="CD3" s="10" t="n">
        <v>0.007791</v>
      </c>
      <c r="CE3" s="10" t="n">
        <v>0.022527</v>
      </c>
      <c r="CF3" s="10" t="n">
        <v>0.034778</v>
      </c>
      <c r="CG3" s="10" t="n">
        <v>0.032581</v>
      </c>
      <c r="CH3" s="10" t="n">
        <v>0.040909</v>
      </c>
      <c r="CI3" s="10" t="n">
        <v>0.03905</v>
      </c>
      <c r="CJ3" s="10" t="n">
        <v>0.024562</v>
      </c>
      <c r="CK3" s="10" t="n">
        <v>0.034134</v>
      </c>
      <c r="CL3" s="10" t="n">
        <v>0.035926</v>
      </c>
      <c r="CM3" s="10" t="n">
        <v>0.042466</v>
      </c>
      <c r="CN3" s="10" t="n">
        <v>0.036524</v>
      </c>
      <c r="CO3" s="10" t="n">
        <v>0.037659</v>
      </c>
      <c r="CP3" s="10" t="n">
        <v>0.039958</v>
      </c>
      <c r="CQ3" s="10" t="n">
        <v>-0.004592</v>
      </c>
      <c r="CR3" s="10" t="n">
        <v>0.015003</v>
      </c>
      <c r="CS3" s="10" t="n">
        <v>0.022459</v>
      </c>
      <c r="CT3" s="10" t="n">
        <v>0.040972</v>
      </c>
      <c r="CU3" s="10" t="n">
        <v>0.038942</v>
      </c>
      <c r="CV3" s="10" t="n">
        <v>0.043015</v>
      </c>
      <c r="CW3" s="10" t="n">
        <v>0.039707</v>
      </c>
      <c r="CX3" s="10" t="n">
        <v>0.039171</v>
      </c>
      <c r="CY3" s="10" t="n">
        <v>0.034941</v>
      </c>
      <c r="CZ3" s="10" t="n">
        <v>0.036027</v>
      </c>
      <c r="DA3" s="10" t="n">
        <v>0.04451</v>
      </c>
      <c r="DB3" s="10" t="n">
        <v>0.039323</v>
      </c>
      <c r="DC3" s="10" t="n">
        <v>0.037933</v>
      </c>
      <c r="DD3" s="10" t="n">
        <v>0.039075</v>
      </c>
      <c r="DE3" s="10" t="n">
        <v>0.041994</v>
      </c>
      <c r="DF3" s="10" t="n">
        <v>0.041965</v>
      </c>
      <c r="DG3" s="10" t="n">
        <v>0.040382</v>
      </c>
      <c r="DH3" s="10" t="n">
        <v>0.036787</v>
      </c>
      <c r="DI3" s="10" t="n">
        <v>0.036878</v>
      </c>
      <c r="DJ3" s="10" t="n">
        <v>0.033682</v>
      </c>
      <c r="DK3" s="10" t="n">
        <v>0.036536</v>
      </c>
      <c r="DL3" s="10" t="n">
        <v>0.031531</v>
      </c>
      <c r="DM3" s="10" t="n">
        <v>0.028662</v>
      </c>
      <c r="DN3" s="10" t="n">
        <v>0.030845</v>
      </c>
      <c r="DO3" s="10" t="n">
        <v>0.033675</v>
      </c>
      <c r="DP3" s="10" t="n">
        <v>0.035102</v>
      </c>
      <c r="DQ3" s="10" t="n">
        <v>0.036708</v>
      </c>
      <c r="DR3" s="10" t="n">
        <v>0.034114</v>
      </c>
      <c r="DS3" s="10" t="n">
        <v>0.036716</v>
      </c>
      <c r="DT3" s="10" t="n">
        <v>0.034828</v>
      </c>
      <c r="DU3" s="10" t="n">
        <v>0.023366</v>
      </c>
      <c r="DV3" s="10" t="n">
        <v>0.025241</v>
      </c>
      <c r="DW3" s="10" t="n">
        <v>0.035159</v>
      </c>
      <c r="DX3" s="10" t="n">
        <v>0.032305</v>
      </c>
      <c r="DY3" s="10" t="n">
        <v>0.023258</v>
      </c>
      <c r="DZ3" s="10" t="n">
        <v>0.028309</v>
      </c>
      <c r="EA3" s="10" t="n">
        <v>0.031397</v>
      </c>
      <c r="EB3" s="10" t="n">
        <v>0.037231</v>
      </c>
      <c r="EC3" s="10" t="n">
        <v>0.033346</v>
      </c>
      <c r="ED3" s="10" t="n">
        <v>0.034187</v>
      </c>
      <c r="EE3" s="10" t="n">
        <v>0.025041</v>
      </c>
      <c r="EF3" s="10" t="n">
        <v>0.034121</v>
      </c>
    </row>
    <row r="4" ht="16.2" customHeight="1" s="54" thickBot="1">
      <c r="A4" s="5" t="n"/>
      <c r="B4" s="1" t="inlineStr">
        <is>
          <t>size</t>
        </is>
      </c>
      <c r="C4" s="10" t="n">
        <v>-0.04966</v>
      </c>
      <c r="D4" s="10" t="n">
        <v>-0.064453</v>
      </c>
      <c r="E4" s="10" t="n">
        <v>-0.095805</v>
      </c>
      <c r="F4" s="10" t="n">
        <v>-0.076694</v>
      </c>
      <c r="G4" s="10" t="n">
        <v>-0.026515</v>
      </c>
      <c r="H4" s="10" t="n">
        <v>-0.034152</v>
      </c>
      <c r="I4" s="10" t="n">
        <v>-0.046191</v>
      </c>
      <c r="J4" s="10" t="n">
        <v>-0.046178</v>
      </c>
      <c r="K4" s="10" t="n">
        <v>-0.045932</v>
      </c>
      <c r="L4" s="10" t="n">
        <v>-0.040812</v>
      </c>
      <c r="M4" s="10" t="n">
        <v>-0.018734</v>
      </c>
      <c r="N4" s="10" t="n">
        <v>-0.035831</v>
      </c>
      <c r="O4" s="10" t="n">
        <v>-0.057023</v>
      </c>
      <c r="P4" s="10" t="n">
        <v>-0.042463</v>
      </c>
      <c r="Q4" s="10" t="n">
        <v>-0.037772</v>
      </c>
      <c r="R4" s="10" t="n">
        <v>-0.028628</v>
      </c>
      <c r="S4" s="10" t="n">
        <v>-0.030998</v>
      </c>
      <c r="T4" s="10" t="n">
        <v>-0.006704</v>
      </c>
      <c r="U4" s="10" t="n">
        <v>-0.037957</v>
      </c>
      <c r="V4" s="10" t="n">
        <v>-0.029502</v>
      </c>
      <c r="W4" s="10" t="n">
        <v>-0.041243</v>
      </c>
      <c r="X4" s="10" t="n">
        <v>-0.054483</v>
      </c>
      <c r="Y4" s="10" t="n">
        <v>-0.057374</v>
      </c>
      <c r="Z4" s="10" t="n">
        <v>-0.050628</v>
      </c>
      <c r="AA4" s="10" t="n">
        <v>-0.04232</v>
      </c>
      <c r="AB4" s="10" t="n">
        <v>-0.034274</v>
      </c>
      <c r="AC4" s="10" t="n">
        <v>-0.038455</v>
      </c>
      <c r="AD4" s="10" t="n">
        <v>-0.032603</v>
      </c>
      <c r="AE4" s="10" t="n">
        <v>-0.034795</v>
      </c>
      <c r="AF4" s="10" t="n">
        <v>-0.001639</v>
      </c>
      <c r="AG4" s="10" t="n">
        <v>-0.032239</v>
      </c>
      <c r="AH4" s="10" t="n">
        <v>-0.025693</v>
      </c>
      <c r="AI4" s="10" t="n">
        <v>-0.030089</v>
      </c>
      <c r="AJ4" s="10" t="n">
        <v>-0.02972</v>
      </c>
      <c r="AK4" s="10" t="n">
        <v>-0.022743</v>
      </c>
      <c r="AL4" s="10" t="n">
        <v>-0.025322</v>
      </c>
      <c r="AM4" s="10" t="n">
        <v>-0.024117</v>
      </c>
      <c r="AN4" s="10" t="n">
        <v>-0.027272</v>
      </c>
      <c r="AO4" s="10" t="n">
        <v>-0.028383</v>
      </c>
      <c r="AP4" s="10" t="n">
        <v>-0.023966</v>
      </c>
      <c r="AQ4" s="10" t="n">
        <v>-0.030304</v>
      </c>
      <c r="AR4" s="10" t="n">
        <v>-0.017736</v>
      </c>
      <c r="AS4" s="10" t="n">
        <v>-0.014939</v>
      </c>
      <c r="AT4" s="10" t="n">
        <v>-0.013609</v>
      </c>
      <c r="AU4" s="10" t="n">
        <v>-0.016424</v>
      </c>
      <c r="AV4" s="10" t="n">
        <v>-0.02404</v>
      </c>
      <c r="AW4" s="10" t="n">
        <v>-0.021379</v>
      </c>
      <c r="AX4" s="10" t="n">
        <v>-0.023051</v>
      </c>
      <c r="AY4" s="10" t="n">
        <v>-0.023942</v>
      </c>
      <c r="AZ4" s="10" t="n">
        <v>-0.015978</v>
      </c>
      <c r="BA4" s="10" t="n">
        <v>-0.029634</v>
      </c>
      <c r="BB4" s="10" t="n">
        <v>-0.036923</v>
      </c>
      <c r="BC4" s="10" t="n">
        <v>-0.022612</v>
      </c>
      <c r="BD4" s="10" t="n">
        <v>-0.026966</v>
      </c>
      <c r="BE4" s="10" t="n">
        <v>-0.030958</v>
      </c>
      <c r="BF4" s="10" t="n">
        <v>-0.018182</v>
      </c>
      <c r="BG4" s="10" t="n">
        <v>-0.015961</v>
      </c>
      <c r="BH4" s="10" t="n">
        <v>-0.021359</v>
      </c>
      <c r="BI4" s="10" t="n">
        <v>-0.018896</v>
      </c>
      <c r="BJ4" s="10" t="n">
        <v>-0.021053</v>
      </c>
      <c r="BK4" s="10" t="n">
        <v>-0.026612</v>
      </c>
      <c r="BL4" s="10" t="n">
        <v>-0.017577</v>
      </c>
      <c r="BM4" s="10" t="n">
        <v>-0.021846</v>
      </c>
      <c r="BN4" s="10" t="n">
        <v>-0.013751</v>
      </c>
      <c r="BO4" s="10" t="n">
        <v>-0.006503</v>
      </c>
      <c r="BP4" s="10" t="n">
        <v>-0.012172</v>
      </c>
      <c r="BQ4" s="10" t="n">
        <v>0.000223</v>
      </c>
      <c r="BR4" s="10" t="n">
        <v>-0.005245</v>
      </c>
      <c r="BS4" s="10" t="n">
        <v>-0.012938</v>
      </c>
      <c r="BT4" s="10" t="n">
        <v>-0.01635</v>
      </c>
      <c r="BU4" s="10" t="n">
        <v>-0.001729</v>
      </c>
      <c r="BV4" s="10" t="n">
        <v>0.015184</v>
      </c>
      <c r="BW4" s="10" t="n">
        <v>-0.003769</v>
      </c>
      <c r="BX4" s="10" t="n">
        <v>-0.016045</v>
      </c>
      <c r="BY4" s="10" t="n">
        <v>-0.018895</v>
      </c>
      <c r="BZ4" s="10" t="n">
        <v>-0.004157</v>
      </c>
      <c r="CA4" s="10" t="n">
        <v>-0.018224</v>
      </c>
      <c r="CB4" s="10" t="n">
        <v>-0.022304</v>
      </c>
      <c r="CC4" s="10" t="n">
        <v>-0.041112</v>
      </c>
      <c r="CD4" s="10" t="n">
        <v>-0.032535</v>
      </c>
      <c r="CE4" s="10" t="n">
        <v>-0.030323</v>
      </c>
      <c r="CF4" s="10" t="n">
        <v>-0.061293</v>
      </c>
      <c r="CG4" s="10" t="n">
        <v>-0.04417</v>
      </c>
      <c r="CH4" s="10" t="n">
        <v>-0.02687</v>
      </c>
      <c r="CI4" s="10" t="n">
        <v>-0.017735</v>
      </c>
      <c r="CJ4" s="10" t="n">
        <v>-0.011494</v>
      </c>
      <c r="CK4" s="10" t="n">
        <v>-0.015911</v>
      </c>
      <c r="CL4" s="10" t="n">
        <v>-0.015536</v>
      </c>
      <c r="CM4" s="10" t="n">
        <v>-0.019142</v>
      </c>
      <c r="CN4" s="10" t="n">
        <v>0.008031</v>
      </c>
      <c r="CO4" s="10" t="n">
        <v>0.004185</v>
      </c>
      <c r="CP4" s="10" t="n">
        <v>-0.007483</v>
      </c>
      <c r="CQ4" s="10" t="n">
        <v>-0.000671</v>
      </c>
      <c r="CR4" s="10" t="n">
        <v>-0.019179</v>
      </c>
      <c r="CS4" s="10" t="n">
        <v>-0.023347</v>
      </c>
      <c r="CT4" s="10" t="n">
        <v>-0.021789</v>
      </c>
      <c r="CU4" s="10" t="n">
        <v>-0.029507</v>
      </c>
      <c r="CV4" s="10" t="n">
        <v>-0.024863</v>
      </c>
      <c r="CW4" s="10" t="n">
        <v>-0.022836</v>
      </c>
      <c r="CX4" s="10" t="n">
        <v>-0.022236</v>
      </c>
      <c r="CY4" s="10" t="n">
        <v>-0.025587</v>
      </c>
      <c r="CZ4" s="10" t="n">
        <v>-0.030231</v>
      </c>
      <c r="DA4" s="10" t="n">
        <v>-0.043224</v>
      </c>
      <c r="DB4" s="10" t="n">
        <v>-0.044725</v>
      </c>
      <c r="DC4" s="10" t="n">
        <v>-0.07076</v>
      </c>
      <c r="DD4" s="10" t="n">
        <v>-0.05761</v>
      </c>
      <c r="DE4" s="10" t="n">
        <v>-0.034042</v>
      </c>
      <c r="DF4" s="10" t="n">
        <v>-0.027184</v>
      </c>
      <c r="DG4" s="10" t="n">
        <v>-0.035052</v>
      </c>
      <c r="DH4" s="10" t="n">
        <v>-0.008428</v>
      </c>
      <c r="DI4" s="10" t="n">
        <v>-0.036371</v>
      </c>
      <c r="DJ4" s="10" t="n">
        <v>-0.038761</v>
      </c>
      <c r="DK4" s="10" t="n">
        <v>-0.027972</v>
      </c>
      <c r="DL4" s="10" t="n">
        <v>-0.016271</v>
      </c>
      <c r="DM4" s="10" t="n">
        <v>-0.017816</v>
      </c>
      <c r="DN4" s="10" t="n">
        <v>-0.008052999999999999</v>
      </c>
      <c r="DO4" s="10" t="n">
        <v>-0.023536</v>
      </c>
      <c r="DP4" s="10" t="n">
        <v>-0.029487</v>
      </c>
      <c r="DQ4" s="10" t="n">
        <v>-0.037657</v>
      </c>
      <c r="DR4" s="10" t="n">
        <v>-0.029648</v>
      </c>
      <c r="DS4" s="10" t="n">
        <v>-0.03019</v>
      </c>
      <c r="DT4" s="10" t="n">
        <v>-0.041056</v>
      </c>
      <c r="DU4" s="10" t="n">
        <v>-0.037311</v>
      </c>
      <c r="DV4" s="10" t="n">
        <v>-0.008939000000000001</v>
      </c>
      <c r="DW4" s="10" t="n">
        <v>-0.018377</v>
      </c>
      <c r="DX4" s="10" t="n">
        <v>-0.030386</v>
      </c>
      <c r="DY4" s="10" t="n">
        <v>-0.033049</v>
      </c>
      <c r="DZ4" s="10" t="n">
        <v>-0.030982</v>
      </c>
      <c r="EA4" s="10" t="n">
        <v>-0.031659</v>
      </c>
      <c r="EB4" s="10" t="n">
        <v>-0.036491</v>
      </c>
      <c r="EC4" s="10" t="n">
        <v>-0.041069</v>
      </c>
      <c r="ED4" s="10" t="n">
        <v>-0.031005</v>
      </c>
      <c r="EE4" s="10" t="n">
        <v>-0.023076</v>
      </c>
      <c r="EF4" s="10" t="n">
        <v>-0.011421</v>
      </c>
    </row>
    <row r="5" ht="16.2" customHeight="1" s="54" thickBot="1">
      <c r="A5" s="5" t="n"/>
      <c r="B5" s="7" t="inlineStr">
        <is>
          <t>mom</t>
        </is>
      </c>
      <c r="C5" s="10" t="n">
        <v>0.003592</v>
      </c>
      <c r="D5" s="10" t="n">
        <v>0.002886</v>
      </c>
      <c r="E5" s="10" t="n">
        <v>0.008014</v>
      </c>
      <c r="F5" s="10" t="n">
        <v>0.007439</v>
      </c>
      <c r="G5" s="10" t="n">
        <v>-0.00017</v>
      </c>
      <c r="H5" s="10" t="n">
        <v>0.009136</v>
      </c>
      <c r="I5" s="10" t="n">
        <v>0.012007</v>
      </c>
      <c r="J5" s="10" t="n">
        <v>0.005946</v>
      </c>
      <c r="K5" s="10" t="n">
        <v>0.016592</v>
      </c>
      <c r="L5" s="10" t="n">
        <v>0.019202</v>
      </c>
      <c r="M5" s="10" t="n">
        <v>0.019702</v>
      </c>
      <c r="N5" s="10" t="n">
        <v>0.020162</v>
      </c>
      <c r="O5" s="10" t="n">
        <v>0.013437</v>
      </c>
      <c r="P5" s="10" t="n">
        <v>0.017638</v>
      </c>
      <c r="Q5" s="10" t="n">
        <v>0.013117</v>
      </c>
      <c r="R5" s="10" t="n">
        <v>0.013457</v>
      </c>
      <c r="S5" s="10" t="n">
        <v>0.016544</v>
      </c>
      <c r="T5" s="10" t="n">
        <v>0.015881</v>
      </c>
      <c r="U5" s="10" t="n">
        <v>0.02594</v>
      </c>
      <c r="V5" s="10" t="n">
        <v>0.019681</v>
      </c>
      <c r="W5" s="10" t="n">
        <v>0.032682</v>
      </c>
      <c r="X5" s="10" t="n">
        <v>0.028819</v>
      </c>
      <c r="Y5" s="10" t="n">
        <v>-0.036097</v>
      </c>
      <c r="Z5" s="10" t="n">
        <v>-0.005819</v>
      </c>
      <c r="AA5" s="10" t="n">
        <v>-0.013844</v>
      </c>
      <c r="AB5" s="10" t="n">
        <v>-0.049937</v>
      </c>
      <c r="AC5" s="10" t="n">
        <v>-0.009207999999999999</v>
      </c>
      <c r="AD5" s="10" t="n">
        <v>-0.065956</v>
      </c>
      <c r="AE5" s="10" t="n">
        <v>-0.021735</v>
      </c>
      <c r="AF5" s="10" t="n">
        <v>0.008972000000000001</v>
      </c>
      <c r="AG5" s="10" t="n">
        <v>-0.011833</v>
      </c>
      <c r="AH5" s="10" t="n">
        <v>-0.002965</v>
      </c>
      <c r="AI5" s="10" t="n">
        <v>0.004786</v>
      </c>
      <c r="AJ5" s="10" t="n">
        <v>0.005737</v>
      </c>
      <c r="AK5" s="10" t="n">
        <v>0.007393</v>
      </c>
      <c r="AL5" s="10" t="n">
        <v>-0.001874</v>
      </c>
      <c r="AM5" s="10" t="n">
        <v>-0.001953</v>
      </c>
      <c r="AN5" s="10" t="n">
        <v>-0.003624</v>
      </c>
      <c r="AO5" s="10" t="n">
        <v>-0.00916</v>
      </c>
      <c r="AP5" s="10" t="n">
        <v>0.002542</v>
      </c>
      <c r="AQ5" s="10" t="n">
        <v>0.003848</v>
      </c>
      <c r="AR5" s="10" t="n">
        <v>0.003403</v>
      </c>
      <c r="AS5" s="10" t="n">
        <v>0.000857</v>
      </c>
      <c r="AT5" s="10" t="n">
        <v>0.008179000000000001</v>
      </c>
      <c r="AU5" s="10" t="n">
        <v>0.010058</v>
      </c>
      <c r="AV5" s="10" t="n">
        <v>0.011138</v>
      </c>
      <c r="AW5" s="10" t="n">
        <v>0.013378</v>
      </c>
      <c r="AX5" s="10" t="n">
        <v>0.011885</v>
      </c>
      <c r="AY5" s="10" t="n">
        <v>-7e-06</v>
      </c>
      <c r="AZ5" s="10" t="n">
        <v>0.007823999999999999</v>
      </c>
      <c r="BA5" s="10" t="n">
        <v>0.006989</v>
      </c>
      <c r="BB5" s="10" t="n">
        <v>0.007187</v>
      </c>
      <c r="BC5" s="10" t="n">
        <v>-0.002392</v>
      </c>
      <c r="BD5" s="10" t="n">
        <v>0.000726</v>
      </c>
      <c r="BE5" s="10" t="n">
        <v>-0.002227</v>
      </c>
      <c r="BF5" s="10" t="n">
        <v>-0.001045</v>
      </c>
      <c r="BG5" s="10" t="n">
        <v>-0.020711</v>
      </c>
      <c r="BH5" s="10" t="n">
        <v>-0.044325</v>
      </c>
      <c r="BI5" s="10" t="n">
        <v>-0.014766</v>
      </c>
      <c r="BJ5" s="10" t="n">
        <v>-0.022278</v>
      </c>
      <c r="BK5" s="10" t="n">
        <v>-0.023507</v>
      </c>
      <c r="BL5" s="10" t="n">
        <v>-0.016596</v>
      </c>
      <c r="BM5" s="10" t="n">
        <v>-0.037766</v>
      </c>
      <c r="BN5" s="10" t="n">
        <v>-0.010041</v>
      </c>
      <c r="BO5" s="10" t="n">
        <v>-0.007494</v>
      </c>
      <c r="BP5" s="10" t="n">
        <v>0.003371</v>
      </c>
      <c r="BQ5" s="10" t="n">
        <v>0.006821</v>
      </c>
      <c r="BR5" s="10" t="n">
        <v>0.0056</v>
      </c>
      <c r="BS5" s="10" t="n">
        <v>0.015476</v>
      </c>
      <c r="BT5" s="10" t="n">
        <v>0.002505</v>
      </c>
      <c r="BU5" s="10" t="n">
        <v>0.006905</v>
      </c>
      <c r="BV5" s="10" t="n">
        <v>0.00676</v>
      </c>
      <c r="BW5" s="10" t="n">
        <v>0.005385</v>
      </c>
      <c r="BX5" s="10" t="n">
        <v>-0.000514</v>
      </c>
      <c r="BY5" s="10" t="n">
        <v>-0.004222</v>
      </c>
      <c r="BZ5" s="10" t="n">
        <v>0.001364</v>
      </c>
      <c r="CA5" s="10" t="n">
        <v>0.01234</v>
      </c>
      <c r="CB5" s="10" t="n">
        <v>0.016161</v>
      </c>
      <c r="CC5" s="10" t="n">
        <v>0.00217</v>
      </c>
      <c r="CD5" s="10" t="n">
        <v>0.008397999999999999</v>
      </c>
      <c r="CE5" s="10" t="n">
        <v>0.002992</v>
      </c>
      <c r="CF5" s="10" t="n">
        <v>-0.000834</v>
      </c>
      <c r="CG5" s="10" t="n">
        <v>-0.00074</v>
      </c>
      <c r="CH5" s="10" t="n">
        <v>-0.011915</v>
      </c>
      <c r="CI5" s="10" t="n">
        <v>-0.014455</v>
      </c>
      <c r="CJ5" s="10" t="n">
        <v>-0.00726</v>
      </c>
      <c r="CK5" s="10" t="n">
        <v>-0.001294</v>
      </c>
      <c r="CL5" s="10" t="n">
        <v>0.009443</v>
      </c>
      <c r="CM5" s="10" t="n">
        <v>0.005114</v>
      </c>
      <c r="CN5" s="10" t="n">
        <v>0.002873</v>
      </c>
      <c r="CO5" s="10" t="n">
        <v>0.01724</v>
      </c>
      <c r="CP5" s="10" t="n">
        <v>0.011414</v>
      </c>
      <c r="CQ5" s="10" t="n">
        <v>0.009006999999999999</v>
      </c>
      <c r="CR5" s="10" t="n">
        <v>-0.002083</v>
      </c>
      <c r="CS5" s="10" t="n">
        <v>-0.021706</v>
      </c>
      <c r="CT5" s="10" t="n">
        <v>-0.005332</v>
      </c>
      <c r="CU5" s="10" t="n">
        <v>-0.003687</v>
      </c>
      <c r="CV5" s="10" t="n">
        <v>-0.037796</v>
      </c>
      <c r="CW5" s="10" t="n">
        <v>-0.013894</v>
      </c>
      <c r="CX5" s="10" t="n">
        <v>0.006629</v>
      </c>
      <c r="CY5" s="10" t="n">
        <v>-0.008267</v>
      </c>
      <c r="CZ5" s="10" t="n">
        <v>0.001635</v>
      </c>
      <c r="DA5" s="10" t="n">
        <v>0.00041</v>
      </c>
      <c r="DB5" s="10" t="n">
        <v>0.004416</v>
      </c>
      <c r="DC5" s="10" t="n">
        <v>0.027</v>
      </c>
      <c r="DD5" s="10" t="n">
        <v>0.009318999999999999</v>
      </c>
      <c r="DE5" s="10" t="n">
        <v>-0.007797</v>
      </c>
      <c r="DF5" s="10" t="n">
        <v>-0.008187</v>
      </c>
      <c r="DG5" s="10" t="n">
        <v>0.004708</v>
      </c>
      <c r="DH5" s="10" t="n">
        <v>-0.013667</v>
      </c>
      <c r="DI5" s="10" t="n">
        <v>-0.007051</v>
      </c>
      <c r="DJ5" s="10" t="n">
        <v>-0.001759</v>
      </c>
      <c r="DK5" s="10" t="n">
        <v>0.003309</v>
      </c>
      <c r="DL5" s="10" t="n">
        <v>0.004863</v>
      </c>
      <c r="DM5" s="10" t="n">
        <v>0.003615</v>
      </c>
      <c r="DN5" s="10" t="n">
        <v>0.006288</v>
      </c>
      <c r="DO5" s="10" t="n">
        <v>0.003553</v>
      </c>
      <c r="DP5" s="10" t="n">
        <v>0.002522</v>
      </c>
      <c r="DQ5" s="10" t="n">
        <v>-0.010665</v>
      </c>
      <c r="DR5" s="10" t="n">
        <v>0.010995</v>
      </c>
      <c r="DS5" s="10" t="n">
        <v>-0.000645</v>
      </c>
      <c r="DT5" s="10" t="n">
        <v>0.000235</v>
      </c>
      <c r="DU5" s="10" t="n">
        <v>0.007369</v>
      </c>
      <c r="DV5" s="10" t="n">
        <v>0.006778</v>
      </c>
      <c r="DW5" s="10" t="n">
        <v>-0.003771</v>
      </c>
      <c r="DX5" s="10" t="n">
        <v>0.001106</v>
      </c>
      <c r="DY5" s="10" t="n">
        <v>0.003387</v>
      </c>
      <c r="DZ5" s="10" t="n">
        <v>0.003255</v>
      </c>
      <c r="EA5" s="10" t="n">
        <v>0.006266</v>
      </c>
      <c r="EB5" s="10" t="n">
        <v>-0.017113</v>
      </c>
      <c r="EC5" s="10" t="n">
        <v>-0.020887</v>
      </c>
      <c r="ED5" s="10" t="n">
        <v>-0.009285</v>
      </c>
      <c r="EE5" s="10" t="n">
        <v>-0.011959</v>
      </c>
      <c r="EF5" s="10" t="n">
        <v>-0.014123</v>
      </c>
    </row>
    <row r="6" ht="17.7" customFormat="1" customHeight="1" s="6" thickBot="1">
      <c r="A6" s="50" t="inlineStr">
        <is>
          <t>選絕對值最大</t>
        </is>
      </c>
      <c r="B6" s="51" t="n"/>
      <c r="C6" s="11" t="n">
        <v>2</v>
      </c>
      <c r="D6" s="11" t="n">
        <v>2</v>
      </c>
      <c r="E6" s="11" t="n">
        <v>2</v>
      </c>
      <c r="F6" s="11" t="n">
        <v>2</v>
      </c>
      <c r="G6" s="11" t="n">
        <v>2</v>
      </c>
      <c r="H6" s="11" t="n">
        <v>2</v>
      </c>
      <c r="I6" s="11" t="n">
        <v>2</v>
      </c>
      <c r="J6" s="11" t="n">
        <v>2</v>
      </c>
      <c r="K6" s="11" t="n">
        <v>2</v>
      </c>
      <c r="L6" s="11" t="n">
        <v>2</v>
      </c>
      <c r="M6" s="11" t="n">
        <v>1</v>
      </c>
      <c r="N6" s="11" t="n">
        <v>2</v>
      </c>
      <c r="O6" s="11" t="n">
        <v>2</v>
      </c>
      <c r="P6" s="11" t="n">
        <v>2</v>
      </c>
      <c r="Q6" s="11" t="n">
        <v>2</v>
      </c>
      <c r="R6" s="11" t="n">
        <v>2</v>
      </c>
      <c r="S6" s="11" t="n">
        <v>2</v>
      </c>
      <c r="T6" s="11" t="n">
        <v>1</v>
      </c>
      <c r="U6" s="11" t="n">
        <v>2</v>
      </c>
      <c r="V6" s="11" t="n">
        <v>2</v>
      </c>
      <c r="W6" s="11" t="n">
        <v>1</v>
      </c>
      <c r="X6" s="11" t="n">
        <v>2</v>
      </c>
      <c r="Y6" s="11" t="n">
        <v>2</v>
      </c>
      <c r="Z6" s="11" t="n">
        <v>2</v>
      </c>
      <c r="AA6" s="11" t="n">
        <v>2</v>
      </c>
      <c r="AB6" s="11" t="n">
        <v>3</v>
      </c>
      <c r="AC6" s="11" t="n">
        <v>2</v>
      </c>
      <c r="AD6" s="11" t="n">
        <v>3</v>
      </c>
      <c r="AE6" s="11" t="n">
        <v>2</v>
      </c>
      <c r="AF6" s="11" t="n">
        <v>1</v>
      </c>
      <c r="AG6" s="11" t="n">
        <v>2</v>
      </c>
      <c r="AH6" s="11" t="n">
        <v>1</v>
      </c>
      <c r="AI6" s="11" t="n">
        <v>1</v>
      </c>
      <c r="AJ6" s="11" t="n">
        <v>1</v>
      </c>
      <c r="AK6" s="11" t="n">
        <v>1</v>
      </c>
      <c r="AL6" s="11" t="n">
        <v>1</v>
      </c>
      <c r="AM6" s="11" t="n">
        <v>1</v>
      </c>
      <c r="AN6" s="11" t="n">
        <v>1</v>
      </c>
      <c r="AO6" s="11" t="n">
        <v>1</v>
      </c>
      <c r="AP6" s="11" t="n">
        <v>1</v>
      </c>
      <c r="AQ6" s="11" t="n">
        <v>1</v>
      </c>
      <c r="AR6" s="11" t="n">
        <v>1</v>
      </c>
      <c r="AS6" s="11" t="n">
        <v>1</v>
      </c>
      <c r="AT6" s="11" t="n">
        <v>1</v>
      </c>
      <c r="AU6" s="11" t="n">
        <v>1</v>
      </c>
      <c r="AV6" s="11" t="n">
        <v>1</v>
      </c>
      <c r="AW6" s="11" t="n">
        <v>1</v>
      </c>
      <c r="AX6" s="11" t="n">
        <v>1</v>
      </c>
      <c r="AY6" s="11" t="n">
        <v>1</v>
      </c>
      <c r="AZ6" s="11" t="n">
        <v>1</v>
      </c>
      <c r="BA6" s="11" t="n">
        <v>2</v>
      </c>
      <c r="BB6" s="11" t="n">
        <v>2</v>
      </c>
      <c r="BC6" s="11" t="n">
        <v>1</v>
      </c>
      <c r="BD6" s="11" t="n">
        <v>1</v>
      </c>
      <c r="BE6" s="11" t="n">
        <v>1</v>
      </c>
      <c r="BF6" s="11" t="n">
        <v>1</v>
      </c>
      <c r="BG6" s="11" t="n">
        <v>1</v>
      </c>
      <c r="BH6" s="11" t="n">
        <v>1</v>
      </c>
      <c r="BI6" s="11" t="n">
        <v>1</v>
      </c>
      <c r="BJ6" s="11" t="n">
        <v>1</v>
      </c>
      <c r="BK6" s="11" t="n">
        <v>1</v>
      </c>
      <c r="BL6" s="11" t="n">
        <v>1</v>
      </c>
      <c r="BM6" s="11" t="n">
        <v>3</v>
      </c>
      <c r="BN6" s="11" t="n">
        <v>1</v>
      </c>
      <c r="BO6" s="11" t="n">
        <v>1</v>
      </c>
      <c r="BP6" s="11" t="n">
        <v>1</v>
      </c>
      <c r="BQ6" s="11" t="n">
        <v>1</v>
      </c>
      <c r="BR6" s="11" t="n">
        <v>1</v>
      </c>
      <c r="BS6" s="11" t="n">
        <v>1</v>
      </c>
      <c r="BT6" s="11" t="n">
        <v>1</v>
      </c>
      <c r="BU6" s="11" t="n">
        <v>1</v>
      </c>
      <c r="BV6" s="11" t="n">
        <v>1</v>
      </c>
      <c r="BW6" s="11" t="n">
        <v>1</v>
      </c>
      <c r="BX6" s="11" t="n">
        <v>1</v>
      </c>
      <c r="BY6" s="11" t="n">
        <v>1</v>
      </c>
      <c r="BZ6" s="11" t="n">
        <v>1</v>
      </c>
      <c r="CA6" s="11" t="n">
        <v>1</v>
      </c>
      <c r="CB6" s="11" t="n">
        <v>1</v>
      </c>
      <c r="CC6" s="11" t="n">
        <v>2</v>
      </c>
      <c r="CD6" s="11" t="n">
        <v>2</v>
      </c>
      <c r="CE6" s="11" t="n">
        <v>2</v>
      </c>
      <c r="CF6" s="11" t="n">
        <v>2</v>
      </c>
      <c r="CG6" s="11" t="n">
        <v>2</v>
      </c>
      <c r="CH6" s="11" t="n">
        <v>1</v>
      </c>
      <c r="CI6" s="11" t="n">
        <v>1</v>
      </c>
      <c r="CJ6" s="11" t="n">
        <v>1</v>
      </c>
      <c r="CK6" s="11" t="n">
        <v>1</v>
      </c>
      <c r="CL6" s="11" t="n">
        <v>1</v>
      </c>
      <c r="CM6" s="11" t="n">
        <v>1</v>
      </c>
      <c r="CN6" s="11" t="n">
        <v>1</v>
      </c>
      <c r="CO6" s="11" t="n">
        <v>1</v>
      </c>
      <c r="CP6" s="11" t="n">
        <v>1</v>
      </c>
      <c r="CQ6" s="11" t="n">
        <v>3</v>
      </c>
      <c r="CR6" s="11" t="n">
        <v>2</v>
      </c>
      <c r="CS6" s="11" t="n">
        <v>2</v>
      </c>
      <c r="CT6" s="11" t="n">
        <v>1</v>
      </c>
      <c r="CU6" s="11" t="n">
        <v>1</v>
      </c>
      <c r="CV6" s="11" t="n">
        <v>1</v>
      </c>
      <c r="CW6" s="11" t="n">
        <v>1</v>
      </c>
      <c r="CX6" s="11" t="n">
        <v>1</v>
      </c>
      <c r="CY6" s="11" t="n">
        <v>1</v>
      </c>
      <c r="CZ6" s="11" t="n">
        <v>1</v>
      </c>
      <c r="DA6" s="11" t="n">
        <v>1</v>
      </c>
      <c r="DB6" s="11" t="n">
        <v>2</v>
      </c>
      <c r="DC6" s="11" t="n">
        <v>2</v>
      </c>
      <c r="DD6" s="11" t="n">
        <v>2</v>
      </c>
      <c r="DE6" s="11" t="n">
        <v>1</v>
      </c>
      <c r="DF6" s="11" t="n">
        <v>1</v>
      </c>
      <c r="DG6" s="11" t="n">
        <v>1</v>
      </c>
      <c r="DH6" s="11" t="n">
        <v>1</v>
      </c>
      <c r="DI6" s="11" t="n">
        <v>1</v>
      </c>
      <c r="DJ6" s="11" t="n">
        <v>2</v>
      </c>
      <c r="DK6" s="11" t="n">
        <v>1</v>
      </c>
      <c r="DL6" s="11" t="n">
        <v>1</v>
      </c>
      <c r="DM6" s="11" t="n">
        <v>1</v>
      </c>
      <c r="DN6" s="11" t="n">
        <v>1</v>
      </c>
      <c r="DO6" s="11" t="n">
        <v>1</v>
      </c>
      <c r="DP6" s="11" t="n">
        <v>1</v>
      </c>
      <c r="DQ6" s="11" t="n">
        <v>2</v>
      </c>
      <c r="DR6" s="11" t="n">
        <v>1</v>
      </c>
      <c r="DS6" s="11" t="n">
        <v>1</v>
      </c>
      <c r="DT6" s="11" t="n">
        <v>2</v>
      </c>
      <c r="DU6" s="11" t="n">
        <v>2</v>
      </c>
      <c r="DV6" s="11" t="n">
        <v>1</v>
      </c>
      <c r="DW6" s="11" t="n">
        <v>1</v>
      </c>
      <c r="DX6" s="11" t="n">
        <v>1</v>
      </c>
      <c r="DY6" s="11" t="n">
        <v>2</v>
      </c>
      <c r="DZ6" s="11" t="n">
        <v>2</v>
      </c>
      <c r="EA6" s="11" t="n">
        <v>2</v>
      </c>
      <c r="EB6" s="11" t="n">
        <v>1</v>
      </c>
      <c r="EC6" s="11" t="n">
        <v>2</v>
      </c>
      <c r="ED6" s="11" t="n">
        <v>1</v>
      </c>
      <c r="EE6" s="11" t="n">
        <v>1</v>
      </c>
      <c r="EF6" s="11" t="n">
        <v>1</v>
      </c>
    </row>
    <row r="7" ht="16.2" customHeight="1" s="54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size</t>
        </is>
      </c>
      <c r="G7" s="11" t="inlineStr">
        <is>
          <t>size</t>
        </is>
      </c>
      <c r="H7" s="11" t="inlineStr">
        <is>
          <t>size</t>
        </is>
      </c>
      <c r="I7" s="11" t="inlineStr">
        <is>
          <t>size</t>
        </is>
      </c>
      <c r="J7" s="11" t="inlineStr">
        <is>
          <t>size</t>
        </is>
      </c>
      <c r="K7" s="11" t="inlineStr">
        <is>
          <t>size</t>
        </is>
      </c>
      <c r="L7" s="11" t="inlineStr">
        <is>
          <t>size</t>
        </is>
      </c>
      <c r="M7" s="11" t="inlineStr">
        <is>
          <t>bm</t>
        </is>
      </c>
      <c r="N7" s="11" t="inlineStr">
        <is>
          <t>size</t>
        </is>
      </c>
      <c r="O7" s="11" t="inlineStr">
        <is>
          <t>size</t>
        </is>
      </c>
      <c r="P7" s="11" t="inlineStr">
        <is>
          <t>size</t>
        </is>
      </c>
      <c r="Q7" s="11" t="inlineStr">
        <is>
          <t>size</t>
        </is>
      </c>
      <c r="R7" s="11" t="inlineStr">
        <is>
          <t>size</t>
        </is>
      </c>
      <c r="S7" s="11" t="inlineStr">
        <is>
          <t>size</t>
        </is>
      </c>
      <c r="T7" s="11" t="inlineStr">
        <is>
          <t>bm</t>
        </is>
      </c>
      <c r="U7" s="11" t="inlineStr">
        <is>
          <t>size</t>
        </is>
      </c>
      <c r="V7" s="11" t="inlineStr">
        <is>
          <t>size</t>
        </is>
      </c>
      <c r="W7" s="11" t="inlineStr">
        <is>
          <t>bm</t>
        </is>
      </c>
      <c r="X7" s="11" t="inlineStr">
        <is>
          <t>size</t>
        </is>
      </c>
      <c r="Y7" s="11" t="inlineStr">
        <is>
          <t>size</t>
        </is>
      </c>
      <c r="Z7" s="11" t="inlineStr">
        <is>
          <t>size</t>
        </is>
      </c>
      <c r="AA7" s="11" t="inlineStr">
        <is>
          <t>size</t>
        </is>
      </c>
      <c r="AB7" s="11" t="inlineStr">
        <is>
          <t>mom</t>
        </is>
      </c>
      <c r="AC7" s="11" t="inlineStr">
        <is>
          <t>size</t>
        </is>
      </c>
      <c r="AD7" s="11" t="inlineStr">
        <is>
          <t>mom</t>
        </is>
      </c>
      <c r="AE7" s="11" t="inlineStr">
        <is>
          <t>size</t>
        </is>
      </c>
      <c r="AF7" s="11" t="inlineStr">
        <is>
          <t>bm</t>
        </is>
      </c>
      <c r="AG7" s="11" t="inlineStr">
        <is>
          <t>size</t>
        </is>
      </c>
      <c r="AH7" s="11" t="inlineStr">
        <is>
          <t>bm</t>
        </is>
      </c>
      <c r="AI7" s="11" t="inlineStr">
        <is>
          <t>bm</t>
        </is>
      </c>
      <c r="AJ7" s="11" t="inlineStr">
        <is>
          <t>bm</t>
        </is>
      </c>
      <c r="AK7" s="11" t="inlineStr">
        <is>
          <t>bm</t>
        </is>
      </c>
      <c r="AL7" s="11" t="inlineStr">
        <is>
          <t>bm</t>
        </is>
      </c>
      <c r="AM7" s="11" t="inlineStr">
        <is>
          <t>bm</t>
        </is>
      </c>
      <c r="AN7" s="11" t="inlineStr">
        <is>
          <t>bm</t>
        </is>
      </c>
      <c r="AO7" s="11" t="inlineStr">
        <is>
          <t>bm</t>
        </is>
      </c>
      <c r="AP7" s="11" t="inlineStr">
        <is>
          <t>bm</t>
        </is>
      </c>
      <c r="AQ7" s="11" t="inlineStr">
        <is>
          <t>bm</t>
        </is>
      </c>
      <c r="AR7" s="11" t="inlineStr">
        <is>
          <t>bm</t>
        </is>
      </c>
      <c r="AS7" s="11" t="inlineStr">
        <is>
          <t>bm</t>
        </is>
      </c>
      <c r="AT7" s="11" t="inlineStr">
        <is>
          <t>bm</t>
        </is>
      </c>
      <c r="AU7" s="11" t="inlineStr">
        <is>
          <t>bm</t>
        </is>
      </c>
      <c r="AV7" s="11" t="inlineStr">
        <is>
          <t>bm</t>
        </is>
      </c>
      <c r="AW7" s="11" t="inlineStr">
        <is>
          <t>bm</t>
        </is>
      </c>
      <c r="AX7" s="11" t="inlineStr">
        <is>
          <t>bm</t>
        </is>
      </c>
      <c r="AY7" s="11" t="inlineStr">
        <is>
          <t>bm</t>
        </is>
      </c>
      <c r="AZ7" s="11" t="inlineStr">
        <is>
          <t>bm</t>
        </is>
      </c>
      <c r="BA7" s="11" t="inlineStr">
        <is>
          <t>size</t>
        </is>
      </c>
      <c r="BB7" s="11" t="inlineStr">
        <is>
          <t>size</t>
        </is>
      </c>
      <c r="BC7" s="11" t="inlineStr">
        <is>
          <t>bm</t>
        </is>
      </c>
      <c r="BD7" s="11" t="inlineStr">
        <is>
          <t>bm</t>
        </is>
      </c>
      <c r="BE7" s="11" t="inlineStr">
        <is>
          <t>bm</t>
        </is>
      </c>
      <c r="BF7" s="11" t="inlineStr">
        <is>
          <t>bm</t>
        </is>
      </c>
      <c r="BG7" s="11" t="inlineStr">
        <is>
          <t>bm</t>
        </is>
      </c>
      <c r="BH7" s="11" t="inlineStr">
        <is>
          <t>bm</t>
        </is>
      </c>
      <c r="BI7" s="11" t="inlineStr">
        <is>
          <t>bm</t>
        </is>
      </c>
      <c r="BJ7" s="11" t="inlineStr">
        <is>
          <t>bm</t>
        </is>
      </c>
      <c r="BK7" s="11" t="inlineStr">
        <is>
          <t>bm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bm</t>
        </is>
      </c>
      <c r="BO7" s="11" t="inlineStr">
        <is>
          <t>bm</t>
        </is>
      </c>
      <c r="BP7" s="11" t="inlineStr">
        <is>
          <t>bm</t>
        </is>
      </c>
      <c r="BQ7" s="11" t="inlineStr">
        <is>
          <t>bm</t>
        </is>
      </c>
      <c r="BR7" s="11" t="inlineStr">
        <is>
          <t>bm</t>
        </is>
      </c>
      <c r="BS7" s="11" t="inlineStr">
        <is>
          <t>bm</t>
        </is>
      </c>
      <c r="BT7" s="11" t="inlineStr">
        <is>
          <t>bm</t>
        </is>
      </c>
      <c r="BU7" s="11" t="inlineStr">
        <is>
          <t>bm</t>
        </is>
      </c>
      <c r="BV7" s="11" t="inlineStr">
        <is>
          <t>bm</t>
        </is>
      </c>
      <c r="BW7" s="11" t="inlineStr">
        <is>
          <t>bm</t>
        </is>
      </c>
      <c r="BX7" s="11" t="inlineStr">
        <is>
          <t>bm</t>
        </is>
      </c>
      <c r="BY7" s="11" t="inlineStr">
        <is>
          <t>bm</t>
        </is>
      </c>
      <c r="BZ7" s="11" t="inlineStr">
        <is>
          <t>bm</t>
        </is>
      </c>
      <c r="CA7" s="11" t="inlineStr">
        <is>
          <t>bm</t>
        </is>
      </c>
      <c r="CB7" s="11" t="inlineStr">
        <is>
          <t>bm</t>
        </is>
      </c>
      <c r="CC7" s="11" t="inlineStr">
        <is>
          <t>size</t>
        </is>
      </c>
      <c r="CD7" s="11" t="inlineStr">
        <is>
          <t>size</t>
        </is>
      </c>
      <c r="CE7" s="11" t="inlineStr">
        <is>
          <t>size</t>
        </is>
      </c>
      <c r="CF7" s="11" t="inlineStr">
        <is>
          <t>size</t>
        </is>
      </c>
      <c r="CG7" s="11" t="inlineStr">
        <is>
          <t>size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bm</t>
        </is>
      </c>
      <c r="CK7" s="11" t="inlineStr">
        <is>
          <t>bm</t>
        </is>
      </c>
      <c r="CL7" s="11" t="inlineStr">
        <is>
          <t>bm</t>
        </is>
      </c>
      <c r="CM7" s="11" t="inlineStr">
        <is>
          <t>bm</t>
        </is>
      </c>
      <c r="CN7" s="11" t="inlineStr">
        <is>
          <t>bm</t>
        </is>
      </c>
      <c r="CO7" s="11" t="inlineStr">
        <is>
          <t>bm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size</t>
        </is>
      </c>
      <c r="CS7" s="11" t="inlineStr">
        <is>
          <t>size</t>
        </is>
      </c>
      <c r="CT7" s="11" t="inlineStr">
        <is>
          <t>bm</t>
        </is>
      </c>
      <c r="CU7" s="11" t="inlineStr">
        <is>
          <t>bm</t>
        </is>
      </c>
      <c r="CV7" s="11" t="inlineStr">
        <is>
          <t>bm</t>
        </is>
      </c>
      <c r="CW7" s="11" t="inlineStr">
        <is>
          <t>bm</t>
        </is>
      </c>
      <c r="CX7" s="11" t="inlineStr">
        <is>
          <t>bm</t>
        </is>
      </c>
      <c r="CY7" s="11" t="inlineStr">
        <is>
          <t>bm</t>
        </is>
      </c>
      <c r="CZ7" s="11" t="inlineStr">
        <is>
          <t>bm</t>
        </is>
      </c>
      <c r="DA7" s="11" t="inlineStr">
        <is>
          <t>bm</t>
        </is>
      </c>
      <c r="DB7" s="11" t="inlineStr">
        <is>
          <t>size</t>
        </is>
      </c>
      <c r="DC7" s="11" t="inlineStr">
        <is>
          <t>size</t>
        </is>
      </c>
      <c r="DD7" s="11" t="inlineStr">
        <is>
          <t>size</t>
        </is>
      </c>
      <c r="DE7" s="11" t="inlineStr">
        <is>
          <t>bm</t>
        </is>
      </c>
      <c r="DF7" s="11" t="inlineStr">
        <is>
          <t>bm</t>
        </is>
      </c>
      <c r="DG7" s="11" t="inlineStr">
        <is>
          <t>bm</t>
        </is>
      </c>
      <c r="DH7" s="11" t="inlineStr">
        <is>
          <t>bm</t>
        </is>
      </c>
      <c r="DI7" s="11" t="inlineStr">
        <is>
          <t>bm</t>
        </is>
      </c>
      <c r="DJ7" s="11" t="inlineStr">
        <is>
          <t>size</t>
        </is>
      </c>
      <c r="DK7" s="11" t="inlineStr">
        <is>
          <t>bm</t>
        </is>
      </c>
      <c r="DL7" s="11" t="inlineStr">
        <is>
          <t>bm</t>
        </is>
      </c>
      <c r="DM7" s="11" t="inlineStr">
        <is>
          <t>bm</t>
        </is>
      </c>
      <c r="DN7" s="11" t="inlineStr">
        <is>
          <t>bm</t>
        </is>
      </c>
      <c r="DO7" s="11" t="inlineStr">
        <is>
          <t>bm</t>
        </is>
      </c>
      <c r="DP7" s="11" t="inlineStr">
        <is>
          <t>bm</t>
        </is>
      </c>
      <c r="DQ7" s="11" t="inlineStr">
        <is>
          <t>size</t>
        </is>
      </c>
      <c r="DR7" s="11" t="inlineStr">
        <is>
          <t>bm</t>
        </is>
      </c>
      <c r="DS7" s="11" t="inlineStr">
        <is>
          <t>bm</t>
        </is>
      </c>
      <c r="DT7" s="11" t="inlineStr">
        <is>
          <t>size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bm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size</t>
        </is>
      </c>
      <c r="EB7" s="11" t="inlineStr">
        <is>
          <t>bm</t>
        </is>
      </c>
      <c r="EC7" s="11" t="inlineStr">
        <is>
          <t>size</t>
        </is>
      </c>
      <c r="ED7" s="11" t="inlineStr">
        <is>
          <t>bm</t>
        </is>
      </c>
      <c r="EE7" s="11" t="inlineStr">
        <is>
          <t>bm</t>
        </is>
      </c>
      <c r="EF7" s="11" t="inlineStr">
        <is>
          <t>bm</t>
        </is>
      </c>
    </row>
    <row r="8" ht="16.2" customHeight="1" s="54" thickBot="1">
      <c r="C8" s="11" t="n">
        <v>-0.04966</v>
      </c>
      <c r="D8" s="11" t="n">
        <v>-0.064453</v>
      </c>
      <c r="E8" s="11" t="n">
        <v>-0.095805</v>
      </c>
      <c r="F8" s="11" t="n">
        <v>-0.076694</v>
      </c>
      <c r="G8" s="11" t="n">
        <v>-0.026515</v>
      </c>
      <c r="H8" s="11" t="n">
        <v>-0.034152</v>
      </c>
      <c r="I8" s="11" t="n">
        <v>-0.046191</v>
      </c>
      <c r="J8" s="11" t="n">
        <v>-0.046178</v>
      </c>
      <c r="K8" s="11" t="n">
        <v>-0.045932</v>
      </c>
      <c r="L8" s="11" t="n">
        <v>-0.040812</v>
      </c>
      <c r="M8" s="11" t="n">
        <v>0.032729</v>
      </c>
      <c r="N8" s="11" t="n">
        <v>-0.035831</v>
      </c>
      <c r="O8" s="11" t="n">
        <v>-0.057023</v>
      </c>
      <c r="P8" s="11" t="n">
        <v>-0.042463</v>
      </c>
      <c r="Q8" s="11" t="n">
        <v>-0.037772</v>
      </c>
      <c r="R8" s="11" t="n">
        <v>-0.028628</v>
      </c>
      <c r="S8" s="11" t="n">
        <v>-0.030998</v>
      </c>
      <c r="T8" s="11" t="n">
        <v>0.022621</v>
      </c>
      <c r="U8" s="11" t="n">
        <v>-0.037957</v>
      </c>
      <c r="V8" s="11" t="n">
        <v>-0.029502</v>
      </c>
      <c r="W8" s="11" t="n">
        <v>0.045784</v>
      </c>
      <c r="X8" s="11" t="n">
        <v>-0.054483</v>
      </c>
      <c r="Y8" s="11" t="n">
        <v>-0.057374</v>
      </c>
      <c r="Z8" s="11" t="n">
        <v>-0.050628</v>
      </c>
      <c r="AA8" s="11" t="n">
        <v>-0.04232</v>
      </c>
      <c r="AB8" s="11" t="n">
        <v>-0.049937</v>
      </c>
      <c r="AC8" s="11" t="n">
        <v>-0.038455</v>
      </c>
      <c r="AD8" s="11" t="n">
        <v>-0.065956</v>
      </c>
      <c r="AE8" s="11" t="n">
        <v>-0.034795</v>
      </c>
      <c r="AF8" s="11" t="n">
        <v>0.013118</v>
      </c>
      <c r="AG8" s="11" t="n">
        <v>-0.032239</v>
      </c>
      <c r="AH8" s="11" t="n">
        <v>0.031884</v>
      </c>
      <c r="AI8" s="11" t="n">
        <v>0.036386</v>
      </c>
      <c r="AJ8" s="11" t="n">
        <v>0.035949</v>
      </c>
      <c r="AK8" s="11" t="n">
        <v>0.043483</v>
      </c>
      <c r="AL8" s="11" t="n">
        <v>0.038462</v>
      </c>
      <c r="AM8" s="11" t="n">
        <v>0.03941</v>
      </c>
      <c r="AN8" s="11" t="n">
        <v>0.050744</v>
      </c>
      <c r="AO8" s="11" t="n">
        <v>0.053685</v>
      </c>
      <c r="AP8" s="11" t="n">
        <v>0.049315</v>
      </c>
      <c r="AQ8" s="11" t="n">
        <v>0.032774</v>
      </c>
      <c r="AR8" s="11" t="n">
        <v>0.028295</v>
      </c>
      <c r="AS8" s="11" t="n">
        <v>0.028378</v>
      </c>
      <c r="AT8" s="11" t="n">
        <v>0.023069</v>
      </c>
      <c r="AU8" s="11" t="n">
        <v>0.029397</v>
      </c>
      <c r="AV8" s="11" t="n">
        <v>0.031038</v>
      </c>
      <c r="AW8" s="11" t="n">
        <v>0.026298</v>
      </c>
      <c r="AX8" s="11" t="n">
        <v>0.026165</v>
      </c>
      <c r="AY8" s="11" t="n">
        <v>0.032054</v>
      </c>
      <c r="AZ8" s="11" t="n">
        <v>0.034478</v>
      </c>
      <c r="BA8" s="11" t="n">
        <v>-0.029634</v>
      </c>
      <c r="BB8" s="11" t="n">
        <v>-0.036923</v>
      </c>
      <c r="BC8" s="11" t="n">
        <v>0.037422</v>
      </c>
      <c r="BD8" s="11" t="n">
        <v>0.031414</v>
      </c>
      <c r="BE8" s="11" t="n">
        <v>0.032006</v>
      </c>
      <c r="BF8" s="11" t="n">
        <v>0.028282</v>
      </c>
      <c r="BG8" s="11" t="n">
        <v>0.041103</v>
      </c>
      <c r="BH8" s="11" t="n">
        <v>0.045199</v>
      </c>
      <c r="BI8" s="11" t="n">
        <v>0.041588</v>
      </c>
      <c r="BJ8" s="11" t="n">
        <v>0.040723</v>
      </c>
      <c r="BK8" s="11" t="n">
        <v>0.036328</v>
      </c>
      <c r="BL8" s="11" t="n">
        <v>0.036173</v>
      </c>
      <c r="BM8" s="11" t="n">
        <v>-0.037766</v>
      </c>
      <c r="BN8" s="11" t="n">
        <v>0.030814</v>
      </c>
      <c r="BO8" s="11" t="n">
        <v>0.030656</v>
      </c>
      <c r="BP8" s="11" t="n">
        <v>0.0344</v>
      </c>
      <c r="BQ8" s="11" t="n">
        <v>0.034869</v>
      </c>
      <c r="BR8" s="11" t="n">
        <v>0.036324</v>
      </c>
      <c r="BS8" s="11" t="n">
        <v>0.036164</v>
      </c>
      <c r="BT8" s="11" t="n">
        <v>0.038669</v>
      </c>
      <c r="BU8" s="11" t="n">
        <v>0.041103</v>
      </c>
      <c r="BV8" s="11" t="n">
        <v>0.028684</v>
      </c>
      <c r="BW8" s="11" t="n">
        <v>0.035217</v>
      </c>
      <c r="BX8" s="11" t="n">
        <v>0.040767</v>
      </c>
      <c r="BY8" s="11" t="n">
        <v>0.021604</v>
      </c>
      <c r="BZ8" s="11" t="n">
        <v>0.030434</v>
      </c>
      <c r="CA8" s="11" t="n">
        <v>0.037312</v>
      </c>
      <c r="CB8" s="11" t="n">
        <v>0.027612</v>
      </c>
      <c r="CC8" s="11" t="n">
        <v>-0.041112</v>
      </c>
      <c r="CD8" s="11" t="n">
        <v>-0.032535</v>
      </c>
      <c r="CE8" s="11" t="n">
        <v>-0.030323</v>
      </c>
      <c r="CF8" s="11" t="n">
        <v>-0.061293</v>
      </c>
      <c r="CG8" s="11" t="n">
        <v>-0.04417</v>
      </c>
      <c r="CH8" s="11" t="n">
        <v>0.040909</v>
      </c>
      <c r="CI8" s="11" t="n">
        <v>0.03905</v>
      </c>
      <c r="CJ8" s="11" t="n">
        <v>0.024562</v>
      </c>
      <c r="CK8" s="11" t="n">
        <v>0.034134</v>
      </c>
      <c r="CL8" s="11" t="n">
        <v>0.035926</v>
      </c>
      <c r="CM8" s="11" t="n">
        <v>0.042466</v>
      </c>
      <c r="CN8" s="11" t="n">
        <v>0.036524</v>
      </c>
      <c r="CO8" s="11" t="n">
        <v>0.037659</v>
      </c>
      <c r="CP8" s="11" t="n">
        <v>0.039958</v>
      </c>
      <c r="CQ8" s="11" t="n">
        <v>0.009006999999999999</v>
      </c>
      <c r="CR8" s="11" t="n">
        <v>-0.019179</v>
      </c>
      <c r="CS8" s="11" t="n">
        <v>-0.023347</v>
      </c>
      <c r="CT8" s="11" t="n">
        <v>0.040972</v>
      </c>
      <c r="CU8" s="11" t="n">
        <v>0.038942</v>
      </c>
      <c r="CV8" s="11" t="n">
        <v>0.043015</v>
      </c>
      <c r="CW8" s="11" t="n">
        <v>0.039707</v>
      </c>
      <c r="CX8" s="11" t="n">
        <v>0.039171</v>
      </c>
      <c r="CY8" s="11" t="n">
        <v>0.034941</v>
      </c>
      <c r="CZ8" s="11" t="n">
        <v>0.036027</v>
      </c>
      <c r="DA8" s="11" t="n">
        <v>0.04451</v>
      </c>
      <c r="DB8" s="11" t="n">
        <v>-0.044725</v>
      </c>
      <c r="DC8" s="11" t="n">
        <v>-0.07076</v>
      </c>
      <c r="DD8" s="11" t="n">
        <v>-0.05761</v>
      </c>
      <c r="DE8" s="11" t="n">
        <v>0.041994</v>
      </c>
      <c r="DF8" s="11" t="n">
        <v>0.041965</v>
      </c>
      <c r="DG8" s="11" t="n">
        <v>0.040382</v>
      </c>
      <c r="DH8" s="11" t="n">
        <v>0.036787</v>
      </c>
      <c r="DI8" s="11" t="n">
        <v>0.036878</v>
      </c>
      <c r="DJ8" s="11" t="n">
        <v>-0.038761</v>
      </c>
      <c r="DK8" s="11" t="n">
        <v>0.036536</v>
      </c>
      <c r="DL8" s="11" t="n">
        <v>0.031531</v>
      </c>
      <c r="DM8" s="11" t="n">
        <v>0.028662</v>
      </c>
      <c r="DN8" s="11" t="n">
        <v>0.030845</v>
      </c>
      <c r="DO8" s="11" t="n">
        <v>0.033675</v>
      </c>
      <c r="DP8" s="11" t="n">
        <v>0.035102</v>
      </c>
      <c r="DQ8" s="11" t="n">
        <v>-0.037657</v>
      </c>
      <c r="DR8" s="11" t="n">
        <v>0.034114</v>
      </c>
      <c r="DS8" s="11" t="n">
        <v>0.036716</v>
      </c>
      <c r="DT8" s="11" t="n">
        <v>-0.041056</v>
      </c>
      <c r="DU8" s="11" t="n">
        <v>-0.037311</v>
      </c>
      <c r="DV8" s="11" t="n">
        <v>0.025241</v>
      </c>
      <c r="DW8" s="11" t="n">
        <v>0.035159</v>
      </c>
      <c r="DX8" s="11" t="n">
        <v>0.032305</v>
      </c>
      <c r="DY8" s="11" t="n">
        <v>-0.033049</v>
      </c>
      <c r="DZ8" s="11" t="n">
        <v>-0.030982</v>
      </c>
      <c r="EA8" s="11" t="n">
        <v>-0.031659</v>
      </c>
      <c r="EB8" s="11" t="n">
        <v>0.037231</v>
      </c>
      <c r="EC8" s="11" t="n">
        <v>-0.041069</v>
      </c>
      <c r="ED8" s="11" t="n">
        <v>0.034187</v>
      </c>
      <c r="EE8" s="11" t="n">
        <v>0.025041</v>
      </c>
      <c r="EF8" s="11" t="n">
        <v>0.034121</v>
      </c>
    </row>
    <row r="9" ht="16.2" customHeight="1" s="54" thickBot="1"/>
    <row r="10" ht="17.7" customHeight="1" s="54" thickBot="1">
      <c r="A10" s="50" t="inlineStr">
        <is>
          <t>投資組合</t>
        </is>
      </c>
      <c r="B10" s="51" t="n"/>
      <c r="C10" s="13" t="inlineStr">
        <is>
          <t>公司數</t>
        </is>
      </c>
      <c r="D10" s="50" t="n">
        <v>964</v>
      </c>
    </row>
    <row r="11" ht="17.7" customHeight="1" s="54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  <c r="EG11" s="14" t="n"/>
    </row>
    <row r="12" ht="16.2" customFormat="1" customHeight="1" s="8" thickBot="1">
      <c r="A12" s="50" t="n">
        <v>10</v>
      </c>
      <c r="B12" s="50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0.01427861</v>
      </c>
      <c r="G12" s="11" t="n">
        <v>0.01518301</v>
      </c>
      <c r="H12" s="11" t="n">
        <v>0.03863265</v>
      </c>
      <c r="I12" s="11" t="n">
        <v>0.01504927</v>
      </c>
      <c r="J12" s="11" t="n">
        <v>-0.0299812</v>
      </c>
      <c r="K12" s="11" t="n">
        <v>0.01885334</v>
      </c>
      <c r="L12" s="11" t="n">
        <v>-0.04141754</v>
      </c>
      <c r="M12" s="11" t="n">
        <v>-0.0155518</v>
      </c>
      <c r="N12" s="11" t="n">
        <v>0.06514757</v>
      </c>
      <c r="O12" s="11" t="n">
        <v>0.01612873</v>
      </c>
      <c r="P12" s="11" t="n">
        <v>-0.0001965</v>
      </c>
      <c r="Q12" s="11" t="n">
        <v>0.03541977</v>
      </c>
      <c r="R12" s="11" t="n">
        <v>0.00688861</v>
      </c>
      <c r="S12" s="11" t="n">
        <v>-0.01710489</v>
      </c>
      <c r="T12" s="11" t="n">
        <v>-0.04340357</v>
      </c>
      <c r="U12" s="11" t="n">
        <v>-0.01582428</v>
      </c>
      <c r="V12" s="11" t="n">
        <v>0.00620447</v>
      </c>
      <c r="W12" s="11" t="n">
        <v>0.02188764</v>
      </c>
      <c r="X12" s="11" t="n">
        <v>0.02633929</v>
      </c>
      <c r="Y12" s="11" t="n">
        <v>0.01685156</v>
      </c>
      <c r="Z12" s="11" t="n">
        <v>0.00590929</v>
      </c>
      <c r="AA12" s="11" t="n">
        <v>-0.01235006</v>
      </c>
      <c r="AB12" s="11" t="n">
        <v>-0.01073333</v>
      </c>
      <c r="AC12" s="11" t="n">
        <v>0.00250561</v>
      </c>
      <c r="AD12" s="11" t="n">
        <v>0.00253043</v>
      </c>
      <c r="AE12" s="11" t="n">
        <v>-0.05831696</v>
      </c>
      <c r="AF12" s="11" t="n">
        <v>0.02043215</v>
      </c>
      <c r="AG12" s="11" t="n">
        <v>0.01207913</v>
      </c>
      <c r="AH12" s="11" t="n">
        <v>0.01407318</v>
      </c>
      <c r="AI12" s="11" t="n">
        <v>0.01883733</v>
      </c>
      <c r="AJ12" s="11" t="n">
        <v>0.00667696</v>
      </c>
      <c r="AK12" s="11" t="n">
        <v>0.04817399</v>
      </c>
      <c r="AL12" s="11" t="n">
        <v>0.01650579</v>
      </c>
      <c r="AM12" s="11" t="n">
        <v>0.02621694</v>
      </c>
      <c r="AN12" s="11" t="n">
        <v>0.06928955000000001</v>
      </c>
      <c r="AO12" s="11" t="n">
        <v>0.00222879</v>
      </c>
      <c r="AP12" s="11" t="n">
        <v>-0.03139715</v>
      </c>
      <c r="AQ12" s="11" t="n">
        <v>-0.0060815</v>
      </c>
      <c r="AR12" s="11" t="n">
        <v>0.01354951</v>
      </c>
      <c r="AS12" s="11" t="n">
        <v>0.01937647</v>
      </c>
      <c r="AT12" s="11" t="n">
        <v>0.01321936</v>
      </c>
      <c r="AU12" s="11" t="n">
        <v>0.02115426</v>
      </c>
      <c r="AV12" s="11" t="n">
        <v>-0.04134701</v>
      </c>
      <c r="AW12" s="11" t="n">
        <v>0.00175207</v>
      </c>
      <c r="AX12" s="11" t="n">
        <v>0.04359847</v>
      </c>
      <c r="AY12" s="11" t="n">
        <v>0.02553956</v>
      </c>
      <c r="AZ12" s="11" t="n">
        <v>-0.00230003</v>
      </c>
      <c r="BA12" s="11" t="n">
        <v>0.07127616000000001</v>
      </c>
      <c r="BB12" s="11" t="n">
        <v>0.00578539</v>
      </c>
      <c r="BC12" s="11" t="n">
        <v>0.01227279</v>
      </c>
      <c r="BD12" s="11" t="n">
        <v>0.01092102</v>
      </c>
      <c r="BE12" s="11" t="n">
        <v>0.02107787</v>
      </c>
      <c r="BF12" s="11" t="n">
        <v>0.06899131</v>
      </c>
      <c r="BG12" s="11" t="n">
        <v>0.03382252</v>
      </c>
      <c r="BH12" s="11" t="n">
        <v>0.01196024</v>
      </c>
      <c r="BI12" s="11" t="n">
        <v>0.05097313</v>
      </c>
      <c r="BJ12" s="11" t="n">
        <v>-0.00079599</v>
      </c>
      <c r="BK12" s="11" t="n">
        <v>-0.02064277</v>
      </c>
      <c r="BL12" s="11" t="n">
        <v>0.02470925</v>
      </c>
      <c r="BM12" s="11" t="n">
        <v>-0.05030568</v>
      </c>
      <c r="BN12" s="11" t="n">
        <v>0.01204513</v>
      </c>
      <c r="BO12" s="11" t="n">
        <v>0.02424631</v>
      </c>
      <c r="BP12" s="11" t="n">
        <v>-0.0096477</v>
      </c>
      <c r="BQ12" s="11" t="n">
        <v>0.01533947</v>
      </c>
      <c r="BR12" s="11" t="n">
        <v>-0.00150666</v>
      </c>
      <c r="BS12" s="11" t="n">
        <v>0.01862442</v>
      </c>
      <c r="BT12" s="11" t="n">
        <v>0.02136775</v>
      </c>
      <c r="BU12" s="11" t="n">
        <v>0.0102977</v>
      </c>
      <c r="BV12" s="11" t="n">
        <v>0.03034928</v>
      </c>
      <c r="BW12" s="11" t="n">
        <v>-0.02977604</v>
      </c>
      <c r="BX12" s="11" t="n">
        <v>0.01146706</v>
      </c>
      <c r="BY12" s="11" t="n">
        <v>-0.03326007</v>
      </c>
      <c r="BZ12" s="11" t="n">
        <v>0.04800457</v>
      </c>
      <c r="CA12" s="11" t="n">
        <v>-0.03158368</v>
      </c>
      <c r="CB12" s="11" t="n">
        <v>0.00166489</v>
      </c>
      <c r="CC12" s="11" t="n">
        <v>0.06556661</v>
      </c>
      <c r="CD12" s="11" t="n">
        <v>0.04425849</v>
      </c>
      <c r="CE12" s="11" t="n">
        <v>0.15400701</v>
      </c>
      <c r="CF12" s="11" t="n">
        <v>0.00450449</v>
      </c>
      <c r="CG12" s="11" t="n">
        <v>0.00030865</v>
      </c>
      <c r="CH12" s="11" t="n">
        <v>0.06646705</v>
      </c>
      <c r="CI12" s="11" t="n">
        <v>-0.03511917</v>
      </c>
      <c r="CJ12" s="11" t="n">
        <v>0.0168923</v>
      </c>
      <c r="CK12" s="11" t="n">
        <v>0.01326181</v>
      </c>
      <c r="CL12" s="11" t="n">
        <v>0.11801561</v>
      </c>
      <c r="CM12" s="11" t="n">
        <v>-0.01438269</v>
      </c>
      <c r="CN12" s="11" t="n">
        <v>-0.02558996</v>
      </c>
      <c r="CO12" s="11" t="n">
        <v>-0.02676265</v>
      </c>
      <c r="CP12" s="11" t="n">
        <v>0.04519343</v>
      </c>
      <c r="CQ12" s="11" t="n">
        <v>-0.06268435</v>
      </c>
      <c r="CR12" s="11" t="n">
        <v>0.04736843</v>
      </c>
      <c r="CS12" s="11" t="n">
        <v>-0.01296163</v>
      </c>
      <c r="CT12" s="11" t="n">
        <v>-0.00096165</v>
      </c>
      <c r="CU12" s="11" t="n">
        <v>0.03334614</v>
      </c>
      <c r="CV12" s="11" t="n">
        <v>0.008112629999999999</v>
      </c>
      <c r="CW12" s="11" t="n">
        <v>0.00530275</v>
      </c>
      <c r="CX12" s="11" t="n">
        <v>0.06098988</v>
      </c>
      <c r="CY12" s="11" t="n">
        <v>-0.00618222</v>
      </c>
      <c r="CZ12" s="11" t="n">
        <v>0.07930253</v>
      </c>
      <c r="DA12" s="11" t="n">
        <v>0.00500562</v>
      </c>
      <c r="DB12" s="11" t="n">
        <v>0.09016464</v>
      </c>
      <c r="DC12" s="11" t="n">
        <v>0.00891436</v>
      </c>
      <c r="DD12" s="11" t="n">
        <v>-0.03901364</v>
      </c>
      <c r="DE12" s="11" t="n">
        <v>0.00068918</v>
      </c>
      <c r="DF12" s="11" t="n">
        <v>-0.00735962</v>
      </c>
      <c r="DG12" s="11" t="n">
        <v>-0.00089878</v>
      </c>
      <c r="DH12" s="11" t="n">
        <v>-0.00382268</v>
      </c>
      <c r="DI12" s="11" t="n">
        <v>-0.05444317</v>
      </c>
      <c r="DJ12" s="11" t="n">
        <v>0.01542829</v>
      </c>
      <c r="DK12" s="11" t="n">
        <v>-0.0152644</v>
      </c>
      <c r="DL12" s="11" t="n">
        <v>-0.00035468</v>
      </c>
      <c r="DM12" s="11" t="n">
        <v>-0.0047521</v>
      </c>
      <c r="DN12" s="11" t="n">
        <v>0.03912576</v>
      </c>
      <c r="DO12" s="11" t="n">
        <v>0.02295451</v>
      </c>
      <c r="DP12" s="11" t="n">
        <v>0.03258445</v>
      </c>
      <c r="DQ12" s="11" t="n">
        <v>-0.03381071</v>
      </c>
      <c r="DR12" s="11" t="n">
        <v>0.01918287</v>
      </c>
      <c r="DS12" s="11" t="n">
        <v>-0.03548022</v>
      </c>
      <c r="DT12" s="11" t="n">
        <v>0.02620934</v>
      </c>
      <c r="DU12" s="11" t="n">
        <v>-0.05712811</v>
      </c>
      <c r="DV12" s="11" t="n">
        <v>0.05258831</v>
      </c>
      <c r="DW12" s="11" t="n">
        <v>0.04095836</v>
      </c>
      <c r="DX12" s="11" t="n">
        <v>-0.05024951</v>
      </c>
      <c r="DY12" s="11" t="n">
        <v>0.05281902</v>
      </c>
      <c r="DZ12" s="11" t="n">
        <v>0.00655929</v>
      </c>
      <c r="EA12" s="11" t="n">
        <v>0.05174842</v>
      </c>
      <c r="EB12" s="11" t="n">
        <v>0.00328839</v>
      </c>
      <c r="EC12" s="11" t="n">
        <v>-0.01011424</v>
      </c>
      <c r="ED12" s="11" t="n">
        <v>-0.05770915</v>
      </c>
      <c r="EE12" s="11" t="n">
        <v>0.0119171</v>
      </c>
      <c r="EF12" s="11" t="n">
        <v>0.03908572</v>
      </c>
    </row>
    <row r="13" ht="16.2" customFormat="1" customHeight="1" s="8" thickBot="1">
      <c r="A13" s="50" t="n">
        <v>20</v>
      </c>
      <c r="B13" s="50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-0.01145524</v>
      </c>
      <c r="G13" s="11" t="n">
        <v>0.01799323</v>
      </c>
      <c r="H13" s="11" t="n">
        <v>0.03601615</v>
      </c>
      <c r="I13" s="11" t="n">
        <v>0.03006034</v>
      </c>
      <c r="J13" s="11" t="n">
        <v>-0.0458665</v>
      </c>
      <c r="K13" s="11" t="n">
        <v>0.00396501</v>
      </c>
      <c r="L13" s="11" t="n">
        <v>-0.00653432</v>
      </c>
      <c r="M13" s="11" t="n">
        <v>0.00770866</v>
      </c>
      <c r="N13" s="11" t="n">
        <v>0.09342051</v>
      </c>
      <c r="O13" s="11" t="n">
        <v>0.03978929</v>
      </c>
      <c r="P13" s="11" t="n">
        <v>0.01679163</v>
      </c>
      <c r="Q13" s="11" t="n">
        <v>0.07322437</v>
      </c>
      <c r="R13" s="11" t="n">
        <v>0.01415994</v>
      </c>
      <c r="S13" s="11" t="n">
        <v>-0.01224367</v>
      </c>
      <c r="T13" s="11" t="n">
        <v>-0.0502519</v>
      </c>
      <c r="U13" s="11" t="n">
        <v>0.00159702</v>
      </c>
      <c r="V13" s="11" t="n">
        <v>-0.02009433</v>
      </c>
      <c r="W13" s="11" t="n">
        <v>0.03110309</v>
      </c>
      <c r="X13" s="11" t="n">
        <v>0.05327689</v>
      </c>
      <c r="Y13" s="11" t="n">
        <v>0.01392099</v>
      </c>
      <c r="Z13" s="11" t="n">
        <v>0.02058376</v>
      </c>
      <c r="AA13" s="11" t="n">
        <v>-0.01644062</v>
      </c>
      <c r="AB13" s="11" t="n">
        <v>-0.01500157</v>
      </c>
      <c r="AC13" s="11" t="n">
        <v>0.008031440000000001</v>
      </c>
      <c r="AD13" s="11" t="n">
        <v>0.02044023</v>
      </c>
      <c r="AE13" s="11" t="n">
        <v>-0.06571937999999999</v>
      </c>
      <c r="AF13" s="11" t="n">
        <v>0.03194046</v>
      </c>
      <c r="AG13" s="11" t="n">
        <v>0.00328231</v>
      </c>
      <c r="AH13" s="11" t="n">
        <v>0.01068719</v>
      </c>
      <c r="AI13" s="11" t="n">
        <v>0.0076427</v>
      </c>
      <c r="AJ13" s="11" t="n">
        <v>-0.01850784</v>
      </c>
      <c r="AK13" s="11" t="n">
        <v>0.06598791</v>
      </c>
      <c r="AL13" s="11" t="n">
        <v>0.02331835</v>
      </c>
      <c r="AM13" s="11" t="n">
        <v>0.05300034</v>
      </c>
      <c r="AN13" s="11" t="n">
        <v>0.10524544</v>
      </c>
      <c r="AO13" s="11" t="n">
        <v>0.01287887</v>
      </c>
      <c r="AP13" s="11" t="n">
        <v>-0.0583617</v>
      </c>
      <c r="AQ13" s="11" t="n">
        <v>-0.00307863</v>
      </c>
      <c r="AR13" s="11" t="n">
        <v>0.01544941</v>
      </c>
      <c r="AS13" s="11" t="n">
        <v>0.04131312</v>
      </c>
      <c r="AT13" s="11" t="n">
        <v>0.04046309</v>
      </c>
      <c r="AU13" s="11" t="n">
        <v>0.0403723</v>
      </c>
      <c r="AV13" s="11" t="n">
        <v>-0.008867740000000001</v>
      </c>
      <c r="AW13" s="11" t="n">
        <v>-0.00148014</v>
      </c>
      <c r="AX13" s="11" t="n">
        <v>0.06601862999999999</v>
      </c>
      <c r="AY13" s="11" t="n">
        <v>0.01652246</v>
      </c>
      <c r="AZ13" s="11" t="n">
        <v>-0.00969305</v>
      </c>
      <c r="BA13" s="11" t="n">
        <v>0.07982912</v>
      </c>
      <c r="BB13" s="11" t="n">
        <v>0.02604635</v>
      </c>
      <c r="BC13" s="11" t="n">
        <v>0.00979212</v>
      </c>
      <c r="BD13" s="11" t="n">
        <v>0.00360893</v>
      </c>
      <c r="BE13" s="11" t="n">
        <v>0.02537806</v>
      </c>
      <c r="BF13" s="11" t="n">
        <v>0.08392942</v>
      </c>
      <c r="BG13" s="11" t="n">
        <v>0.04139871</v>
      </c>
      <c r="BH13" s="11" t="n">
        <v>0.008082260000000001</v>
      </c>
      <c r="BI13" s="11" t="n">
        <v>0.05240913</v>
      </c>
      <c r="BJ13" s="11" t="n">
        <v>-0.01766269</v>
      </c>
      <c r="BK13" s="11" t="n">
        <v>-0.01839102</v>
      </c>
      <c r="BL13" s="11" t="n">
        <v>0.03194786</v>
      </c>
      <c r="BM13" s="11" t="n">
        <v>-0.05337177</v>
      </c>
      <c r="BN13" s="11" t="n">
        <v>0.01178204</v>
      </c>
      <c r="BO13" s="11" t="n">
        <v>0.03173531</v>
      </c>
      <c r="BP13" s="11" t="n">
        <v>0.00765195</v>
      </c>
      <c r="BQ13" s="11" t="n">
        <v>0.04270743</v>
      </c>
      <c r="BR13" s="11" t="n">
        <v>-0.00707138</v>
      </c>
      <c r="BS13" s="11" t="n">
        <v>0.00756975</v>
      </c>
      <c r="BT13" s="11" t="n">
        <v>0.03859387</v>
      </c>
      <c r="BU13" s="11" t="n">
        <v>0.01652699</v>
      </c>
      <c r="BV13" s="11" t="n">
        <v>0.02934981</v>
      </c>
      <c r="BW13" s="11" t="n">
        <v>0.00176324</v>
      </c>
      <c r="BX13" s="11" t="n">
        <v>0.02281493</v>
      </c>
      <c r="BY13" s="11" t="n">
        <v>-0.02058711</v>
      </c>
      <c r="BZ13" s="11" t="n">
        <v>0.07692787</v>
      </c>
      <c r="CA13" s="11" t="n">
        <v>-0.03238228</v>
      </c>
      <c r="CB13" s="11" t="n">
        <v>-0.00978682</v>
      </c>
      <c r="CC13" s="11" t="n">
        <v>0.12011817</v>
      </c>
      <c r="CD13" s="11" t="n">
        <v>0.05525605</v>
      </c>
      <c r="CE13" s="11" t="n">
        <v>0.18382784</v>
      </c>
      <c r="CF13" s="11" t="n">
        <v>0.01822894</v>
      </c>
      <c r="CG13" s="11" t="n">
        <v>0.00756027</v>
      </c>
      <c r="CH13" s="11" t="n">
        <v>0.05833461</v>
      </c>
      <c r="CI13" s="11" t="n">
        <v>-0.05185351</v>
      </c>
      <c r="CJ13" s="11" t="n">
        <v>-0.00246563</v>
      </c>
      <c r="CK13" s="11" t="n">
        <v>0.03222202</v>
      </c>
      <c r="CL13" s="11" t="n">
        <v>0.07837308</v>
      </c>
      <c r="CM13" s="11" t="n">
        <v>-0.0102968</v>
      </c>
      <c r="CN13" s="11" t="n">
        <v>-0.02326963</v>
      </c>
      <c r="CO13" s="11" t="n">
        <v>-0.0147999</v>
      </c>
      <c r="CP13" s="11" t="n">
        <v>0.06972654</v>
      </c>
      <c r="CQ13" s="11" t="n">
        <v>-0.07117886</v>
      </c>
      <c r="CR13" s="11" t="n">
        <v>0.06438065</v>
      </c>
      <c r="CS13" s="11" t="n">
        <v>0.00394765</v>
      </c>
      <c r="CT13" s="11" t="n">
        <v>0.0080708</v>
      </c>
      <c r="CU13" s="11" t="n">
        <v>0.0381492</v>
      </c>
      <c r="CV13" s="11" t="n">
        <v>-0.0030568</v>
      </c>
      <c r="CW13" s="11" t="n">
        <v>0.00597703</v>
      </c>
      <c r="CX13" s="11" t="n">
        <v>0.06077974</v>
      </c>
      <c r="CY13" s="11" t="n">
        <v>-0.01311874</v>
      </c>
      <c r="CZ13" s="11" t="n">
        <v>0.05722422</v>
      </c>
      <c r="DA13" s="11" t="n">
        <v>-0.00662765</v>
      </c>
      <c r="DB13" s="11" t="n">
        <v>0.10623532</v>
      </c>
      <c r="DC13" s="11" t="n">
        <v>0.023541</v>
      </c>
      <c r="DD13" s="11" t="n">
        <v>-0.05140665</v>
      </c>
      <c r="DE13" s="11" t="n">
        <v>0.00581319</v>
      </c>
      <c r="DF13" s="11" t="n">
        <v>-0.0285188</v>
      </c>
      <c r="DG13" s="11" t="n">
        <v>-0.00163066</v>
      </c>
      <c r="DH13" s="11" t="n">
        <v>0.01343348</v>
      </c>
      <c r="DI13" s="11" t="n">
        <v>-0.04597703</v>
      </c>
      <c r="DJ13" s="11" t="n">
        <v>0.00598358</v>
      </c>
      <c r="DK13" s="11" t="n">
        <v>0.01107209</v>
      </c>
      <c r="DL13" s="11" t="n">
        <v>-0.01606111</v>
      </c>
      <c r="DM13" s="11" t="n">
        <v>-0.00665887</v>
      </c>
      <c r="DN13" s="11" t="n">
        <v>0.0148398</v>
      </c>
      <c r="DO13" s="11" t="n">
        <v>0.04689141</v>
      </c>
      <c r="DP13" s="11" t="n">
        <v>0.04723815</v>
      </c>
      <c r="DQ13" s="11" t="n">
        <v>-0.03356697</v>
      </c>
      <c r="DR13" s="11" t="n">
        <v>0.01395807</v>
      </c>
      <c r="DS13" s="11" t="n">
        <v>-0.03888763</v>
      </c>
      <c r="DT13" s="11" t="n">
        <v>0.0519227</v>
      </c>
      <c r="DU13" s="11" t="n">
        <v>-0.03460772</v>
      </c>
      <c r="DV13" s="11" t="n">
        <v>0.07962014000000001</v>
      </c>
      <c r="DW13" s="11" t="n">
        <v>0.04346533</v>
      </c>
      <c r="DX13" s="11" t="n">
        <v>-0.06464192000000001</v>
      </c>
      <c r="DY13" s="11" t="n">
        <v>0.05101728</v>
      </c>
      <c r="DZ13" s="11" t="n">
        <v>0.03012492</v>
      </c>
      <c r="EA13" s="11" t="n">
        <v>0.06168907</v>
      </c>
      <c r="EB13" s="11" t="n">
        <v>0.02137322</v>
      </c>
      <c r="EC13" s="11" t="n">
        <v>-0.01704872</v>
      </c>
      <c r="ED13" s="11" t="n">
        <v>-0.06568209</v>
      </c>
      <c r="EE13" s="11" t="n">
        <v>0.008738030000000001</v>
      </c>
      <c r="EF13" s="11" t="n">
        <v>0.06657722000000001</v>
      </c>
    </row>
    <row r="14" ht="16.2" customFormat="1" customHeight="1" s="8" thickBot="1">
      <c r="A14" s="50" t="n">
        <v>50</v>
      </c>
      <c r="B14" s="50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0.03454246</v>
      </c>
      <c r="G14" s="11" t="n">
        <v>0.08514876</v>
      </c>
      <c r="H14" s="11" t="n">
        <v>0.05958781</v>
      </c>
      <c r="I14" s="11" t="n">
        <v>0.07711496</v>
      </c>
      <c r="J14" s="11" t="n">
        <v>-0.10509439</v>
      </c>
      <c r="K14" s="11" t="n">
        <v>0.01623109</v>
      </c>
      <c r="L14" s="11" t="n">
        <v>-0.00848045</v>
      </c>
      <c r="M14" s="11" t="n">
        <v>0.00569619</v>
      </c>
      <c r="N14" s="11" t="n">
        <v>0.20483258</v>
      </c>
      <c r="O14" s="11" t="n">
        <v>0.03964231</v>
      </c>
      <c r="P14" s="11" t="n">
        <v>0.04777976</v>
      </c>
      <c r="Q14" s="11" t="n">
        <v>0.05823795</v>
      </c>
      <c r="R14" s="11" t="n">
        <v>-0.0141518</v>
      </c>
      <c r="S14" s="11" t="n">
        <v>0.0385341</v>
      </c>
      <c r="T14" s="11" t="n">
        <v>-0.06984148</v>
      </c>
      <c r="U14" s="11" t="n">
        <v>0.03657913</v>
      </c>
      <c r="V14" s="11" t="n">
        <v>-0.03837555</v>
      </c>
      <c r="W14" s="11" t="n">
        <v>0.07400816</v>
      </c>
      <c r="X14" s="11" t="n">
        <v>0.05358171</v>
      </c>
      <c r="Y14" s="11" t="n">
        <v>-0.01676266</v>
      </c>
      <c r="Z14" s="11" t="n">
        <v>0.0212522</v>
      </c>
      <c r="AA14" s="11" t="n">
        <v>-0.0026274</v>
      </c>
      <c r="AB14" s="11" t="n">
        <v>-0.02733598</v>
      </c>
      <c r="AC14" s="11" t="n">
        <v>-0.02929208</v>
      </c>
      <c r="AD14" s="11" t="n">
        <v>0.06987459</v>
      </c>
      <c r="AE14" s="11" t="n">
        <v>-0.00401891</v>
      </c>
      <c r="AF14" s="11" t="n">
        <v>0.04129151</v>
      </c>
      <c r="AG14" s="11" t="n">
        <v>0.0063902</v>
      </c>
      <c r="AH14" s="11" t="n">
        <v>0.00525028</v>
      </c>
      <c r="AI14" s="11" t="n">
        <v>0.07207295</v>
      </c>
      <c r="AJ14" s="11" t="n">
        <v>0.01505904</v>
      </c>
      <c r="AK14" s="11" t="n">
        <v>0.07106183000000001</v>
      </c>
      <c r="AL14" s="11" t="n">
        <v>0.03796919</v>
      </c>
      <c r="AM14" s="11" t="n">
        <v>0.06237433</v>
      </c>
      <c r="AN14" s="11" t="n">
        <v>0.09787823</v>
      </c>
      <c r="AO14" s="11" t="n">
        <v>0.06090571</v>
      </c>
      <c r="AP14" s="11" t="n">
        <v>-0.07054608</v>
      </c>
      <c r="AQ14" s="11" t="n">
        <v>-0.00018125</v>
      </c>
      <c r="AR14" s="11" t="n">
        <v>0.03764584</v>
      </c>
      <c r="AS14" s="11" t="n">
        <v>0.08296902</v>
      </c>
      <c r="AT14" s="11" t="n">
        <v>0.0144197</v>
      </c>
      <c r="AU14" s="11" t="n">
        <v>0.03999165</v>
      </c>
      <c r="AV14" s="11" t="n">
        <v>-0.02268479</v>
      </c>
      <c r="AW14" s="11" t="n">
        <v>-0.01542138</v>
      </c>
      <c r="AX14" s="11" t="n">
        <v>0.13695103</v>
      </c>
      <c r="AY14" s="11" t="n">
        <v>0.01506812</v>
      </c>
      <c r="AZ14" s="11" t="n">
        <v>-0.05348603</v>
      </c>
      <c r="BA14" s="11" t="n">
        <v>0.09633733</v>
      </c>
      <c r="BB14" s="11" t="n">
        <v>0.10189834</v>
      </c>
      <c r="BC14" s="11" t="n">
        <v>-0.01518646</v>
      </c>
      <c r="BD14" s="11" t="n">
        <v>0.04332778</v>
      </c>
      <c r="BE14" s="11" t="n">
        <v>0.04502913</v>
      </c>
      <c r="BF14" s="11" t="n">
        <v>0.04381036</v>
      </c>
      <c r="BG14" s="11" t="n">
        <v>0.04137426</v>
      </c>
      <c r="BH14" s="11" t="n">
        <v>-0.01036468</v>
      </c>
      <c r="BI14" s="11" t="n">
        <v>0.05018521</v>
      </c>
      <c r="BJ14" s="11" t="n">
        <v>-0.01240932</v>
      </c>
      <c r="BK14" s="11" t="n">
        <v>-8.733000000000001e-05</v>
      </c>
      <c r="BL14" s="11" t="n">
        <v>0.05973777</v>
      </c>
      <c r="BM14" s="11" t="n">
        <v>-0.04627833</v>
      </c>
      <c r="BN14" s="11" t="n">
        <v>0.02093654</v>
      </c>
      <c r="BO14" s="11" t="n">
        <v>0.03360905</v>
      </c>
      <c r="BP14" s="11" t="n">
        <v>0.01567373</v>
      </c>
      <c r="BQ14" s="11" t="n">
        <v>0.01584352</v>
      </c>
      <c r="BR14" s="11" t="n">
        <v>-0.02228235</v>
      </c>
      <c r="BS14" s="11" t="n">
        <v>-0.04097084</v>
      </c>
      <c r="BT14" s="11" t="n">
        <v>0.07313913</v>
      </c>
      <c r="BU14" s="11" t="n">
        <v>0.00509203</v>
      </c>
      <c r="BV14" s="11" t="n">
        <v>0.0238989</v>
      </c>
      <c r="BW14" s="11" t="n">
        <v>0.00894491</v>
      </c>
      <c r="BX14" s="11" t="n">
        <v>0.0562757</v>
      </c>
      <c r="BY14" s="11" t="n">
        <v>-0.00366057</v>
      </c>
      <c r="BZ14" s="11" t="n">
        <v>0.10854106</v>
      </c>
      <c r="CA14" s="11" t="n">
        <v>-0.02446527</v>
      </c>
      <c r="CB14" s="11" t="n">
        <v>0.02212762</v>
      </c>
      <c r="CC14" s="11" t="n">
        <v>0.12059616</v>
      </c>
      <c r="CD14" s="11" t="n">
        <v>0.04888142</v>
      </c>
      <c r="CE14" s="11" t="n">
        <v>0.1705553</v>
      </c>
      <c r="CF14" s="11" t="n">
        <v>-0.02031022</v>
      </c>
      <c r="CG14" s="11" t="n">
        <v>0.13892668</v>
      </c>
      <c r="CH14" s="11" t="n">
        <v>0.06466139</v>
      </c>
      <c r="CI14" s="11" t="n">
        <v>-0.10588478</v>
      </c>
      <c r="CJ14" s="11" t="n">
        <v>-0.03253041</v>
      </c>
      <c r="CK14" s="11" t="n">
        <v>0.01401636</v>
      </c>
      <c r="CL14" s="11" t="n">
        <v>0.06226995</v>
      </c>
      <c r="CM14" s="11" t="n">
        <v>0.03204001</v>
      </c>
      <c r="CN14" s="11" t="n">
        <v>-0.02302669</v>
      </c>
      <c r="CO14" s="11" t="n">
        <v>-0.07358772</v>
      </c>
      <c r="CP14" s="11" t="n">
        <v>0.09980933</v>
      </c>
      <c r="CQ14" s="11" t="n">
        <v>-0.0322279</v>
      </c>
      <c r="CR14" s="11" t="n">
        <v>0.06264066</v>
      </c>
      <c r="CS14" s="11" t="n">
        <v>-0.00381611</v>
      </c>
      <c r="CT14" s="11" t="n">
        <v>0.01421921</v>
      </c>
      <c r="CU14" s="11" t="n">
        <v>-0.04357201</v>
      </c>
      <c r="CV14" s="11" t="n">
        <v>0.02274572</v>
      </c>
      <c r="CW14" s="11" t="n">
        <v>-0.00339838</v>
      </c>
      <c r="CX14" s="11" t="n">
        <v>0.0362719</v>
      </c>
      <c r="CY14" s="11" t="n">
        <v>-0.02875912</v>
      </c>
      <c r="CZ14" s="11" t="n">
        <v>0.06406356000000001</v>
      </c>
      <c r="DA14" s="11" t="n">
        <v>-0.02235398</v>
      </c>
      <c r="DB14" s="11" t="n">
        <v>0.10460744</v>
      </c>
      <c r="DC14" s="11" t="n">
        <v>0.01475376</v>
      </c>
      <c r="DD14" s="11" t="n">
        <v>-0.05389997</v>
      </c>
      <c r="DE14" s="11" t="n">
        <v>0.0053843</v>
      </c>
      <c r="DF14" s="11" t="n">
        <v>-0.03585663</v>
      </c>
      <c r="DG14" s="11" t="n">
        <v>0.01144656</v>
      </c>
      <c r="DH14" s="11" t="n">
        <v>0.00477484</v>
      </c>
      <c r="DI14" s="11" t="n">
        <v>-0.04822768</v>
      </c>
      <c r="DJ14" s="11" t="n">
        <v>0.01589759</v>
      </c>
      <c r="DK14" s="11" t="n">
        <v>0.02099214</v>
      </c>
      <c r="DL14" s="11" t="n">
        <v>-0.01516516</v>
      </c>
      <c r="DM14" s="11" t="n">
        <v>0.00550427</v>
      </c>
      <c r="DN14" s="11" t="n">
        <v>0.03985171</v>
      </c>
      <c r="DO14" s="11" t="n">
        <v>0.04137565</v>
      </c>
      <c r="DP14" s="11" t="n">
        <v>0.04053223</v>
      </c>
      <c r="DQ14" s="11" t="n">
        <v>-0.05601929</v>
      </c>
      <c r="DR14" s="11" t="n">
        <v>0.05262252</v>
      </c>
      <c r="DS14" s="11" t="n">
        <v>-0.03504491</v>
      </c>
      <c r="DT14" s="11" t="n">
        <v>0.11767251</v>
      </c>
      <c r="DU14" s="11" t="n">
        <v>-0.06879527000000001</v>
      </c>
      <c r="DV14" s="11" t="n">
        <v>0.10826235</v>
      </c>
      <c r="DW14" s="11" t="n">
        <v>0.09180932999999999</v>
      </c>
      <c r="DX14" s="11" t="n">
        <v>-0.10216122</v>
      </c>
      <c r="DY14" s="11" t="n">
        <v>0.0742587</v>
      </c>
      <c r="DZ14" s="11" t="n">
        <v>0.035031</v>
      </c>
      <c r="EA14" s="11" t="n">
        <v>0.10752548</v>
      </c>
      <c r="EB14" s="11" t="n">
        <v>0.03718762</v>
      </c>
      <c r="EC14" s="11" t="n">
        <v>-0.01929146</v>
      </c>
      <c r="ED14" s="11" t="n">
        <v>-0.09887025000000001</v>
      </c>
      <c r="EE14" s="11" t="n">
        <v>0.01886716</v>
      </c>
      <c r="EF14" s="11" t="n">
        <v>0.06663235000000001</v>
      </c>
    </row>
    <row r="15" ht="16.2" customFormat="1" customHeight="1" s="8" thickBot="1">
      <c r="A15" s="50" t="n">
        <v>100</v>
      </c>
      <c r="B15" s="50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0.09030371</v>
      </c>
      <c r="G15" s="11" t="n">
        <v>0.09660559000000001</v>
      </c>
      <c r="H15" s="11" t="n">
        <v>0.1188437</v>
      </c>
      <c r="I15" s="11" t="n">
        <v>0.12672874</v>
      </c>
      <c r="J15" s="11" t="n">
        <v>-0.06452469</v>
      </c>
      <c r="K15" s="11" t="n">
        <v>-0.00421037</v>
      </c>
      <c r="L15" s="11" t="n">
        <v>0.01296708</v>
      </c>
      <c r="M15" s="11" t="n">
        <v>0.02549771</v>
      </c>
      <c r="N15" s="11" t="n">
        <v>0.33030934</v>
      </c>
      <c r="O15" s="11" t="n">
        <v>0.04610349</v>
      </c>
      <c r="P15" s="11" t="n">
        <v>0.05298328</v>
      </c>
      <c r="Q15" s="11" t="n">
        <v>0.10037535</v>
      </c>
      <c r="R15" s="11" t="n">
        <v>0.01675544</v>
      </c>
      <c r="S15" s="11" t="n">
        <v>-0.04303393</v>
      </c>
      <c r="T15" s="11" t="n">
        <v>-0.06680012</v>
      </c>
      <c r="U15" s="11" t="n">
        <v>0.04679024</v>
      </c>
      <c r="V15" s="11" t="n">
        <v>-0.08568088</v>
      </c>
      <c r="W15" s="11" t="n">
        <v>0.10254359</v>
      </c>
      <c r="X15" s="11" t="n">
        <v>0.07843641</v>
      </c>
      <c r="Y15" s="11" t="n">
        <v>-0.02418862</v>
      </c>
      <c r="Z15" s="11" t="n">
        <v>-0.02365642</v>
      </c>
      <c r="AA15" s="11" t="n">
        <v>0.04658612</v>
      </c>
      <c r="AB15" s="11" t="n">
        <v>-0.0221664</v>
      </c>
      <c r="AC15" s="11" t="n">
        <v>-0.04005513</v>
      </c>
      <c r="AD15" s="11" t="n">
        <v>0.08171336999999999</v>
      </c>
      <c r="AE15" s="11" t="n">
        <v>0.04728648</v>
      </c>
      <c r="AF15" s="11" t="n">
        <v>0.06581961</v>
      </c>
      <c r="AG15" s="11" t="n">
        <v>-0.00974531</v>
      </c>
      <c r="AH15" s="11" t="n">
        <v>-0.03710418</v>
      </c>
      <c r="AI15" s="11" t="n">
        <v>0.07778073000000001</v>
      </c>
      <c r="AJ15" s="11" t="n">
        <v>0.00946486</v>
      </c>
      <c r="AK15" s="11" t="n">
        <v>0.06175962</v>
      </c>
      <c r="AL15" s="11" t="n">
        <v>0.04055565</v>
      </c>
      <c r="AM15" s="11" t="n">
        <v>0.056558</v>
      </c>
      <c r="AN15" s="11" t="n">
        <v>0.09286191000000001</v>
      </c>
      <c r="AO15" s="11" t="n">
        <v>0.06018028</v>
      </c>
      <c r="AP15" s="11" t="n">
        <v>-0.08645777</v>
      </c>
      <c r="AQ15" s="11" t="n">
        <v>-0.03259754</v>
      </c>
      <c r="AR15" s="11" t="n">
        <v>0.07851726000000001</v>
      </c>
      <c r="AS15" s="11" t="n">
        <v>0.05382118</v>
      </c>
      <c r="AT15" s="11" t="n">
        <v>0.06525499</v>
      </c>
      <c r="AU15" s="11" t="n">
        <v>0.04358808</v>
      </c>
      <c r="AV15" s="11" t="n">
        <v>-0.04722682</v>
      </c>
      <c r="AW15" s="11" t="n">
        <v>0.01565994</v>
      </c>
      <c r="AX15" s="11" t="n">
        <v>0.12523398</v>
      </c>
      <c r="AY15" s="11" t="n">
        <v>0.02822972</v>
      </c>
      <c r="AZ15" s="11" t="n">
        <v>-0.09132328000000001</v>
      </c>
      <c r="BA15" s="11" t="n">
        <v>0.15768795</v>
      </c>
      <c r="BB15" s="11" t="n">
        <v>0.1087891</v>
      </c>
      <c r="BC15" s="11" t="n">
        <v>0.06215514</v>
      </c>
      <c r="BD15" s="11" t="n">
        <v>0.05199174</v>
      </c>
      <c r="BE15" s="11" t="n">
        <v>0.03914651</v>
      </c>
      <c r="BF15" s="11" t="n">
        <v>0.04766298</v>
      </c>
      <c r="BG15" s="11" t="n">
        <v>0.00282482</v>
      </c>
      <c r="BH15" s="11" t="n">
        <v>0.04015355</v>
      </c>
      <c r="BI15" s="11" t="n">
        <v>0.06858665999999999</v>
      </c>
      <c r="BJ15" s="11" t="n">
        <v>-0.0163238</v>
      </c>
      <c r="BK15" s="11" t="n">
        <v>-0.00657092</v>
      </c>
      <c r="BL15" s="11" t="n">
        <v>0.06274818</v>
      </c>
      <c r="BM15" s="11" t="n">
        <v>-0.048219</v>
      </c>
      <c r="BN15" s="11" t="n">
        <v>0.04014257</v>
      </c>
      <c r="BO15" s="11" t="n">
        <v>0.02153094</v>
      </c>
      <c r="BP15" s="11" t="n">
        <v>0.01418422</v>
      </c>
      <c r="BQ15" s="11" t="n">
        <v>0.01280293</v>
      </c>
      <c r="BR15" s="11" t="n">
        <v>-0.05015743</v>
      </c>
      <c r="BS15" s="11" t="n">
        <v>-0.01682378</v>
      </c>
      <c r="BT15" s="11" t="n">
        <v>0.08906021</v>
      </c>
      <c r="BU15" s="11" t="n">
        <v>0.01947642</v>
      </c>
      <c r="BV15" s="11" t="n">
        <v>0.05922894</v>
      </c>
      <c r="BW15" s="11" t="n">
        <v>-0.03594589</v>
      </c>
      <c r="BX15" s="11" t="n">
        <v>0.0286359</v>
      </c>
      <c r="BY15" s="11" t="n">
        <v>-0.06354318</v>
      </c>
      <c r="BZ15" s="11" t="n">
        <v>0.10290647</v>
      </c>
      <c r="CA15" s="11" t="n">
        <v>-0.01859202</v>
      </c>
      <c r="CB15" s="11" t="n">
        <v>0.01505689</v>
      </c>
      <c r="CC15" s="11" t="n">
        <v>0.17365171</v>
      </c>
      <c r="CD15" s="11" t="n">
        <v>0.08909452</v>
      </c>
      <c r="CE15" s="11" t="n">
        <v>0.07336812</v>
      </c>
      <c r="CF15" s="11" t="n">
        <v>-0.00362682</v>
      </c>
      <c r="CG15" s="11" t="n">
        <v>0.22573123</v>
      </c>
      <c r="CH15" s="11" t="n">
        <v>0.06288596</v>
      </c>
      <c r="CI15" s="11" t="n">
        <v>-0.02780307</v>
      </c>
      <c r="CJ15" s="11" t="n">
        <v>-0.08704436</v>
      </c>
      <c r="CK15" s="11" t="n">
        <v>0.05667265</v>
      </c>
      <c r="CL15" s="11" t="n">
        <v>0.03142197</v>
      </c>
      <c r="CM15" s="11" t="n">
        <v>0.07463112</v>
      </c>
      <c r="CN15" s="11" t="n">
        <v>-0.03457067</v>
      </c>
      <c r="CO15" s="11" t="n">
        <v>-0.12934647</v>
      </c>
      <c r="CP15" s="11" t="n">
        <v>0.12753584</v>
      </c>
      <c r="CQ15" s="11" t="n">
        <v>0.02496336</v>
      </c>
      <c r="CR15" s="11" t="n">
        <v>0.02437432</v>
      </c>
      <c r="CS15" s="11" t="n">
        <v>0.01691099</v>
      </c>
      <c r="CT15" s="11" t="n">
        <v>0.00739457</v>
      </c>
      <c r="CU15" s="11" t="n">
        <v>-0.06317866</v>
      </c>
      <c r="CV15" s="11" t="n">
        <v>-0.00614185</v>
      </c>
      <c r="CW15" s="11" t="n">
        <v>-0.01539092</v>
      </c>
      <c r="CX15" s="11" t="n">
        <v>0.02403961</v>
      </c>
      <c r="CY15" s="11" t="n">
        <v>-0.04247067</v>
      </c>
      <c r="CZ15" s="11" t="n">
        <v>0.07988695</v>
      </c>
      <c r="DA15" s="11" t="n">
        <v>-0.02249797</v>
      </c>
      <c r="DB15" s="11" t="n">
        <v>0.09704823999999999</v>
      </c>
      <c r="DC15" s="11" t="n">
        <v>0.07672702000000001</v>
      </c>
      <c r="DD15" s="11" t="n">
        <v>-0.06752641</v>
      </c>
      <c r="DE15" s="11" t="n">
        <v>0.02494871</v>
      </c>
      <c r="DF15" s="11" t="n">
        <v>-0.03735592</v>
      </c>
      <c r="DG15" s="11" t="n">
        <v>0.01619673</v>
      </c>
      <c r="DH15" s="11" t="n">
        <v>-0.01870901</v>
      </c>
      <c r="DI15" s="11" t="n">
        <v>-0.01171845</v>
      </c>
      <c r="DJ15" s="11" t="n">
        <v>0.04756662</v>
      </c>
      <c r="DK15" s="11" t="n">
        <v>0.10398151</v>
      </c>
      <c r="DL15" s="11" t="n">
        <v>0.06263549</v>
      </c>
      <c r="DM15" s="11" t="n">
        <v>-0.02380855</v>
      </c>
      <c r="DN15" s="11" t="n">
        <v>0.0439965</v>
      </c>
      <c r="DO15" s="11" t="n">
        <v>0.04629673</v>
      </c>
      <c r="DP15" s="11" t="n">
        <v>0.01713232</v>
      </c>
      <c r="DQ15" s="11" t="n">
        <v>-0.07293808</v>
      </c>
      <c r="DR15" s="11" t="n">
        <v>0.05923354</v>
      </c>
      <c r="DS15" s="11" t="n">
        <v>-0.08304491999999999</v>
      </c>
      <c r="DT15" s="11" t="n">
        <v>0.0342964</v>
      </c>
      <c r="DU15" s="11" t="n">
        <v>-0.11712765</v>
      </c>
      <c r="DV15" s="11" t="n">
        <v>0.13421062</v>
      </c>
      <c r="DW15" s="11" t="n">
        <v>0.02553863</v>
      </c>
      <c r="DX15" s="11" t="n">
        <v>-0.11861625</v>
      </c>
      <c r="DY15" s="11" t="n">
        <v>0.14360957</v>
      </c>
      <c r="DZ15" s="11" t="n">
        <v>0.04045565</v>
      </c>
      <c r="EA15" s="11" t="n">
        <v>0.10917693</v>
      </c>
      <c r="EB15" s="11" t="n">
        <v>0.04851857</v>
      </c>
      <c r="EC15" s="11" t="n">
        <v>-0.01778552</v>
      </c>
      <c r="ED15" s="11" t="n">
        <v>-0.11335706</v>
      </c>
      <c r="EE15" s="11" t="n">
        <v>-0.02487403</v>
      </c>
      <c r="EF15" s="11" t="n">
        <v>0.06220831</v>
      </c>
    </row>
    <row r="16" ht="16.2" customFormat="1" customHeight="1" s="8" thickBot="1">
      <c r="A16" s="50" t="n">
        <v>107</v>
      </c>
      <c r="B16" s="50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0.10741935</v>
      </c>
      <c r="G16" s="11" t="n">
        <v>0.10901251</v>
      </c>
      <c r="H16" s="11" t="n">
        <v>0.07284806000000001</v>
      </c>
      <c r="I16" s="11" t="n">
        <v>0.1117923</v>
      </c>
      <c r="J16" s="11" t="n">
        <v>-0.06869403</v>
      </c>
      <c r="K16" s="11" t="n">
        <v>0.0179251</v>
      </c>
      <c r="L16" s="11" t="n">
        <v>0.03102715</v>
      </c>
      <c r="M16" s="11" t="n">
        <v>0.04033445</v>
      </c>
      <c r="N16" s="11" t="n">
        <v>0.36698761</v>
      </c>
      <c r="O16" s="11" t="n">
        <v>0.01562109</v>
      </c>
      <c r="P16" s="11" t="n">
        <v>0.06197974</v>
      </c>
      <c r="Q16" s="11" t="n">
        <v>0.09661817</v>
      </c>
      <c r="R16" s="11" t="n">
        <v>0.01918276</v>
      </c>
      <c r="S16" s="11" t="n">
        <v>-0.04241518</v>
      </c>
      <c r="T16" s="11" t="n">
        <v>-0.06721906</v>
      </c>
      <c r="U16" s="11" t="n">
        <v>0.04865152</v>
      </c>
      <c r="V16" s="11" t="n">
        <v>-0.10431618</v>
      </c>
      <c r="W16" s="11" t="n">
        <v>0.10166568</v>
      </c>
      <c r="X16" s="11" t="n">
        <v>0.07367828</v>
      </c>
      <c r="Y16" s="11" t="n">
        <v>-0.00428745</v>
      </c>
      <c r="Z16" s="11" t="n">
        <v>-0.02007579</v>
      </c>
      <c r="AA16" s="11" t="n">
        <v>0.05022553</v>
      </c>
      <c r="AB16" s="11" t="n">
        <v>-0.03229541</v>
      </c>
      <c r="AC16" s="11" t="n">
        <v>-0.04104052</v>
      </c>
      <c r="AD16" s="11" t="n">
        <v>0.05313606</v>
      </c>
      <c r="AE16" s="11" t="n">
        <v>0.05153499</v>
      </c>
      <c r="AF16" s="11" t="n">
        <v>0.06089411</v>
      </c>
      <c r="AG16" s="11" t="n">
        <v>-0.008301909999999999</v>
      </c>
      <c r="AH16" s="11" t="n">
        <v>-0.0317654</v>
      </c>
      <c r="AI16" s="11" t="n">
        <v>0.04907804</v>
      </c>
      <c r="AJ16" s="11" t="n">
        <v>-0.00702597</v>
      </c>
      <c r="AK16" s="11" t="n">
        <v>0.0644214</v>
      </c>
      <c r="AL16" s="11" t="n">
        <v>0.04868893</v>
      </c>
      <c r="AM16" s="11" t="n">
        <v>0.06607673</v>
      </c>
      <c r="AN16" s="11" t="n">
        <v>0.1064562</v>
      </c>
      <c r="AO16" s="11" t="n">
        <v>0.05525133</v>
      </c>
      <c r="AP16" s="11" t="n">
        <v>-0.07779837000000001</v>
      </c>
      <c r="AQ16" s="11" t="n">
        <v>-0.0384662</v>
      </c>
      <c r="AR16" s="11" t="n">
        <v>0.10329118</v>
      </c>
      <c r="AS16" s="11" t="n">
        <v>0.06506823</v>
      </c>
      <c r="AT16" s="11" t="n">
        <v>0.04954716</v>
      </c>
      <c r="AU16" s="11" t="n">
        <v>0.04182684</v>
      </c>
      <c r="AV16" s="11" t="n">
        <v>-0.009072510000000001</v>
      </c>
      <c r="AW16" s="11" t="n">
        <v>0.03925293</v>
      </c>
      <c r="AX16" s="11" t="n">
        <v>0.10082977</v>
      </c>
      <c r="AY16" s="11" t="n">
        <v>0.03381259</v>
      </c>
      <c r="AZ16" s="11" t="n">
        <v>-0.10490964</v>
      </c>
      <c r="BA16" s="11" t="n">
        <v>0.1599907</v>
      </c>
      <c r="BB16" s="11" t="n">
        <v>0.13247474</v>
      </c>
      <c r="BC16" s="11" t="n">
        <v>0.0744871</v>
      </c>
      <c r="BD16" s="11" t="n">
        <v>0.03643194</v>
      </c>
      <c r="BE16" s="11" t="n">
        <v>0.05141099</v>
      </c>
      <c r="BF16" s="11" t="n">
        <v>0.06426804999999999</v>
      </c>
      <c r="BG16" s="11" t="n">
        <v>0.0122014</v>
      </c>
      <c r="BH16" s="11" t="n">
        <v>0.05783534</v>
      </c>
      <c r="BI16" s="11" t="n">
        <v>0.05233576</v>
      </c>
      <c r="BJ16" s="11" t="n">
        <v>-0.02050382</v>
      </c>
      <c r="BK16" s="11" t="n">
        <v>-0.01033925</v>
      </c>
      <c r="BL16" s="11" t="n">
        <v>0.07062357</v>
      </c>
      <c r="BM16" s="11" t="n">
        <v>-0.03949799</v>
      </c>
      <c r="BN16" s="11" t="n">
        <v>0.04790583</v>
      </c>
      <c r="BO16" s="11" t="n">
        <v>0.02189036</v>
      </c>
      <c r="BP16" s="11" t="n">
        <v>0.0117472</v>
      </c>
      <c r="BQ16" s="11" t="n">
        <v>0.01647802</v>
      </c>
      <c r="BR16" s="11" t="n">
        <v>-0.02629685</v>
      </c>
      <c r="BS16" s="11" t="n">
        <v>-0.01987319</v>
      </c>
      <c r="BT16" s="11" t="n">
        <v>0.08548319</v>
      </c>
      <c r="BU16" s="11" t="n">
        <v>0.02682645</v>
      </c>
      <c r="BV16" s="11" t="n">
        <v>0.0567357</v>
      </c>
      <c r="BW16" s="11" t="n">
        <v>-0.06574093</v>
      </c>
      <c r="BX16" s="11" t="n">
        <v>0.03155924</v>
      </c>
      <c r="BY16" s="11" t="n">
        <v>-0.05056373</v>
      </c>
      <c r="BZ16" s="11" t="n">
        <v>0.11152585</v>
      </c>
      <c r="CA16" s="11" t="n">
        <v>-0.02971439</v>
      </c>
      <c r="CB16" s="11" t="n">
        <v>-0.00142804</v>
      </c>
      <c r="CC16" s="11" t="n">
        <v>0.04438815</v>
      </c>
      <c r="CD16" s="11" t="n">
        <v>0.08775109</v>
      </c>
      <c r="CE16" s="11" t="n">
        <v>0.09361423000000001</v>
      </c>
      <c r="CF16" s="11" t="n">
        <v>-0.01469606</v>
      </c>
      <c r="CG16" s="11" t="n">
        <v>0.14619604</v>
      </c>
      <c r="CH16" s="11" t="n">
        <v>0.04169741</v>
      </c>
      <c r="CI16" s="11" t="n">
        <v>-0.03870988</v>
      </c>
      <c r="CJ16" s="11" t="n">
        <v>-0.04070698</v>
      </c>
      <c r="CK16" s="11" t="n">
        <v>0.08226012000000001</v>
      </c>
      <c r="CL16" s="11" t="n">
        <v>0.01846278</v>
      </c>
      <c r="CM16" s="11" t="n">
        <v>0.08898863</v>
      </c>
      <c r="CN16" s="11" t="n">
        <v>-0.02409813</v>
      </c>
      <c r="CO16" s="11" t="n">
        <v>-0.18233801</v>
      </c>
      <c r="CP16" s="11" t="n">
        <v>0.13663169</v>
      </c>
      <c r="CQ16" s="11" t="n">
        <v>0.02033378</v>
      </c>
      <c r="CR16" s="11" t="n">
        <v>0.02522866</v>
      </c>
      <c r="CS16" s="11" t="n">
        <v>0.02180701</v>
      </c>
      <c r="CT16" s="11" t="n">
        <v>0.00506741</v>
      </c>
      <c r="CU16" s="11" t="n">
        <v>-0.06343465</v>
      </c>
      <c r="CV16" s="11" t="n">
        <v>0.01337535</v>
      </c>
      <c r="CW16" s="11" t="n">
        <v>-0.01242334</v>
      </c>
      <c r="CX16" s="11" t="n">
        <v>0.01224028</v>
      </c>
      <c r="CY16" s="11" t="n">
        <v>-0.04911705</v>
      </c>
      <c r="CZ16" s="11" t="n">
        <v>0.10263326</v>
      </c>
      <c r="DA16" s="11" t="n">
        <v>-0.02980479</v>
      </c>
      <c r="DB16" s="11" t="n">
        <v>0.09801728</v>
      </c>
      <c r="DC16" s="11" t="n">
        <v>0.06374066</v>
      </c>
      <c r="DD16" s="11" t="n">
        <v>-0.07437112</v>
      </c>
      <c r="DE16" s="11" t="n">
        <v>-0.03119313</v>
      </c>
      <c r="DF16" s="11" t="n">
        <v>-0.02314643</v>
      </c>
      <c r="DG16" s="11" t="n">
        <v>0.01445295</v>
      </c>
      <c r="DH16" s="11" t="n">
        <v>-0.01912934</v>
      </c>
      <c r="DI16" s="11" t="n">
        <v>-0.01198497</v>
      </c>
      <c r="DJ16" s="11" t="n">
        <v>0.05175322</v>
      </c>
      <c r="DK16" s="11" t="n">
        <v>0.13359436</v>
      </c>
      <c r="DL16" s="11" t="n">
        <v>0.06511304</v>
      </c>
      <c r="DM16" s="11" t="n">
        <v>-0.03033095</v>
      </c>
      <c r="DN16" s="11" t="n">
        <v>0.04243785</v>
      </c>
      <c r="DO16" s="11" t="n">
        <v>0.05241186</v>
      </c>
      <c r="DP16" s="11" t="n">
        <v>0.01984195</v>
      </c>
      <c r="DQ16" s="11" t="n">
        <v>-0.06756052</v>
      </c>
      <c r="DR16" s="11" t="n">
        <v>0.05519125</v>
      </c>
      <c r="DS16" s="11" t="n">
        <v>-0.09375206</v>
      </c>
      <c r="DT16" s="11" t="n">
        <v>0.03205949</v>
      </c>
      <c r="DU16" s="11" t="n">
        <v>-0.12277205</v>
      </c>
      <c r="DV16" s="11" t="n">
        <v>0.13695373</v>
      </c>
      <c r="DW16" s="11" t="n">
        <v>0.04091773</v>
      </c>
      <c r="DX16" s="11" t="n">
        <v>-0.12528471</v>
      </c>
      <c r="DY16" s="11" t="n">
        <v>0.15757213</v>
      </c>
      <c r="DZ16" s="11" t="n">
        <v>0.05881075</v>
      </c>
      <c r="EA16" s="11" t="n">
        <v>0.13979902</v>
      </c>
      <c r="EB16" s="11" t="n">
        <v>0.07861064</v>
      </c>
      <c r="EC16" s="11" t="n">
        <v>-0.024938</v>
      </c>
      <c r="ED16" s="11" t="n">
        <v>-0.11541675</v>
      </c>
      <c r="EE16" s="11" t="n">
        <v>-0.03305827</v>
      </c>
      <c r="EF16" s="11" t="n">
        <v>0.03989391</v>
      </c>
    </row>
    <row r="17" ht="16.2" customFormat="1" customHeight="1" s="8" thickBot="1">
      <c r="A17" s="50" t="n">
        <v>120</v>
      </c>
      <c r="B17" s="50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0.14677181</v>
      </c>
      <c r="G17" s="11" t="n">
        <v>0.11713148</v>
      </c>
      <c r="H17" s="11" t="n">
        <v>0.10499405</v>
      </c>
      <c r="I17" s="11" t="n">
        <v>0.06748966000000001</v>
      </c>
      <c r="J17" s="11" t="n">
        <v>-0.11529907</v>
      </c>
      <c r="K17" s="11" t="n">
        <v>0.03944499</v>
      </c>
      <c r="L17" s="11" t="n">
        <v>0.03377593</v>
      </c>
      <c r="M17" s="11" t="n">
        <v>0.06493203</v>
      </c>
      <c r="N17" s="11" t="n">
        <v>0.40510801</v>
      </c>
      <c r="O17" s="11" t="n">
        <v>0.02463206</v>
      </c>
      <c r="P17" s="11" t="n">
        <v>0.0769156</v>
      </c>
      <c r="Q17" s="11" t="n">
        <v>0.10643025</v>
      </c>
      <c r="R17" s="11" t="n">
        <v>0.00197525</v>
      </c>
      <c r="S17" s="11" t="n">
        <v>-0.05513203</v>
      </c>
      <c r="T17" s="11" t="n">
        <v>-0.06761646</v>
      </c>
      <c r="U17" s="11" t="n">
        <v>0.05229023</v>
      </c>
      <c r="V17" s="11" t="n">
        <v>-0.1163563</v>
      </c>
      <c r="W17" s="11" t="n">
        <v>0.11960398</v>
      </c>
      <c r="X17" s="11" t="n">
        <v>0.10018597</v>
      </c>
      <c r="Y17" s="11" t="n">
        <v>0.0015005</v>
      </c>
      <c r="Z17" s="11" t="n">
        <v>-0.02160849</v>
      </c>
      <c r="AA17" s="11" t="n">
        <v>0.0622542</v>
      </c>
      <c r="AB17" s="11" t="n">
        <v>-0.0445383</v>
      </c>
      <c r="AC17" s="11" t="n">
        <v>-0.04079901</v>
      </c>
      <c r="AD17" s="11" t="n">
        <v>0.04977738</v>
      </c>
      <c r="AE17" s="11" t="n">
        <v>0.0594435</v>
      </c>
      <c r="AF17" s="11" t="n">
        <v>0.06115582</v>
      </c>
      <c r="AG17" s="11" t="n">
        <v>-0.00135167</v>
      </c>
      <c r="AH17" s="11" t="n">
        <v>-0.03547262</v>
      </c>
      <c r="AI17" s="11" t="n">
        <v>0.03178212</v>
      </c>
      <c r="AJ17" s="11" t="n">
        <v>-0.04260263</v>
      </c>
      <c r="AK17" s="11" t="n">
        <v>0.07371627</v>
      </c>
      <c r="AL17" s="11" t="n">
        <v>0.05072441</v>
      </c>
      <c r="AM17" s="11" t="n">
        <v>0.06025949</v>
      </c>
      <c r="AN17" s="11" t="n">
        <v>0.11328712</v>
      </c>
      <c r="AO17" s="11" t="n">
        <v>0.01263233</v>
      </c>
      <c r="AP17" s="11" t="n">
        <v>-0.07887378</v>
      </c>
      <c r="AQ17" s="11" t="n">
        <v>-0.06193206</v>
      </c>
      <c r="AR17" s="11" t="n">
        <v>0.11393071</v>
      </c>
      <c r="AS17" s="11" t="n">
        <v>0.06089016</v>
      </c>
      <c r="AT17" s="11" t="n">
        <v>0.05226781</v>
      </c>
      <c r="AU17" s="11" t="n">
        <v>0.05264823</v>
      </c>
      <c r="AV17" s="11" t="n">
        <v>-0.02150836</v>
      </c>
      <c r="AW17" s="11" t="n">
        <v>0.01916397</v>
      </c>
      <c r="AX17" s="11" t="n">
        <v>0.09624056</v>
      </c>
      <c r="AY17" s="11" t="n">
        <v>0.0274237</v>
      </c>
      <c r="AZ17" s="11" t="n">
        <v>-0.12511082</v>
      </c>
      <c r="BA17" s="11" t="n">
        <v>0.16280641</v>
      </c>
      <c r="BB17" s="11" t="n">
        <v>0.15327128</v>
      </c>
      <c r="BC17" s="11" t="n">
        <v>0.087662</v>
      </c>
      <c r="BD17" s="11" t="n">
        <v>0.02235648</v>
      </c>
      <c r="BE17" s="11" t="n">
        <v>0.07735024</v>
      </c>
      <c r="BF17" s="11" t="n">
        <v>0.0551975</v>
      </c>
      <c r="BG17" s="11" t="n">
        <v>-0.03539424</v>
      </c>
      <c r="BH17" s="11" t="n">
        <v>0.00651488</v>
      </c>
      <c r="BI17" s="11" t="n">
        <v>0.09936539</v>
      </c>
      <c r="BJ17" s="11" t="n">
        <v>-0.00636373</v>
      </c>
      <c r="BK17" s="11" t="n">
        <v>-0.01382295</v>
      </c>
      <c r="BL17" s="11" t="n">
        <v>0.07748297</v>
      </c>
      <c r="BM17" s="11" t="n">
        <v>-0.02905901</v>
      </c>
      <c r="BN17" s="11" t="n">
        <v>0.04691553</v>
      </c>
      <c r="BO17" s="11" t="n">
        <v>0.03230993</v>
      </c>
      <c r="BP17" s="11" t="n">
        <v>0.03599598</v>
      </c>
      <c r="BQ17" s="11" t="n">
        <v>0.01137651</v>
      </c>
      <c r="BR17" s="11" t="n">
        <v>-0.00964638</v>
      </c>
      <c r="BS17" s="11" t="n">
        <v>-0.00410347</v>
      </c>
      <c r="BT17" s="11" t="n">
        <v>0.10941638</v>
      </c>
      <c r="BU17" s="11" t="n">
        <v>0.07112781999999999</v>
      </c>
      <c r="BV17" s="11" t="n">
        <v>0.06228267</v>
      </c>
      <c r="BW17" s="11" t="n">
        <v>-0.08043171</v>
      </c>
      <c r="BX17" s="11" t="n">
        <v>0.02882296</v>
      </c>
      <c r="BY17" s="11" t="n">
        <v>-0.08424547</v>
      </c>
      <c r="BZ17" s="11" t="n">
        <v>0.12096669</v>
      </c>
      <c r="CA17" s="11" t="n">
        <v>-0.02793483</v>
      </c>
      <c r="CB17" s="11" t="n">
        <v>-0.00133531</v>
      </c>
      <c r="CC17" s="11" t="n">
        <v>0.04176025</v>
      </c>
      <c r="CD17" s="11" t="n">
        <v>0.06410594999999999</v>
      </c>
      <c r="CE17" s="11" t="n">
        <v>0.09570807000000001</v>
      </c>
      <c r="CF17" s="11" t="n">
        <v>-0.09512335</v>
      </c>
      <c r="CG17" s="11" t="n">
        <v>0.17703461</v>
      </c>
      <c r="CH17" s="11" t="n">
        <v>0.05863645</v>
      </c>
      <c r="CI17" s="11" t="n">
        <v>-0.01453118</v>
      </c>
      <c r="CJ17" s="11" t="n">
        <v>-0.05074232</v>
      </c>
      <c r="CK17" s="11" t="n">
        <v>0.09173857000000001</v>
      </c>
      <c r="CL17" s="11" t="n">
        <v>-0.01115051</v>
      </c>
      <c r="CM17" s="11" t="n">
        <v>0.13456934</v>
      </c>
      <c r="CN17" s="11" t="n">
        <v>-0.02671806</v>
      </c>
      <c r="CO17" s="11" t="n">
        <v>-0.20253863</v>
      </c>
      <c r="CP17" s="11" t="n">
        <v>0.14815927</v>
      </c>
      <c r="CQ17" s="11" t="n">
        <v>-0.0519071</v>
      </c>
      <c r="CR17" s="11" t="n">
        <v>0.02300583</v>
      </c>
      <c r="CS17" s="11" t="n">
        <v>0.01154552</v>
      </c>
      <c r="CT17" s="11" t="n">
        <v>0.04926006</v>
      </c>
      <c r="CU17" s="11" t="n">
        <v>-0.07440831000000001</v>
      </c>
      <c r="CV17" s="11" t="n">
        <v>0.00387961</v>
      </c>
      <c r="CW17" s="11" t="n">
        <v>-0.01976185</v>
      </c>
      <c r="CX17" s="11" t="n">
        <v>0.01077239</v>
      </c>
      <c r="CY17" s="11" t="n">
        <v>-0.0493833</v>
      </c>
      <c r="CZ17" s="11" t="n">
        <v>0.12424884</v>
      </c>
      <c r="DA17" s="11" t="n">
        <v>-0.04182179</v>
      </c>
      <c r="DB17" s="11" t="n">
        <v>0.10427163</v>
      </c>
      <c r="DC17" s="11" t="n">
        <v>0.05388832</v>
      </c>
      <c r="DD17" s="11" t="n">
        <v>-0.04813059</v>
      </c>
      <c r="DE17" s="11" t="n">
        <v>-0.03318093</v>
      </c>
      <c r="DF17" s="11" t="n">
        <v>-0.01123137</v>
      </c>
      <c r="DG17" s="11" t="n">
        <v>-0.00183928</v>
      </c>
      <c r="DH17" s="11" t="n">
        <v>-0.03872665</v>
      </c>
      <c r="DI17" s="11" t="n">
        <v>-0.00529324</v>
      </c>
      <c r="DJ17" s="11" t="n">
        <v>0.0571465</v>
      </c>
      <c r="DK17" s="11" t="n">
        <v>0.15603643</v>
      </c>
      <c r="DL17" s="11" t="n">
        <v>0.0735156</v>
      </c>
      <c r="DM17" s="11" t="n">
        <v>-0.04433377</v>
      </c>
      <c r="DN17" s="11" t="n">
        <v>0.03548903</v>
      </c>
      <c r="DO17" s="11" t="n">
        <v>0.05345137</v>
      </c>
      <c r="DP17" s="11" t="n">
        <v>-0.01687861</v>
      </c>
      <c r="DQ17" s="11" t="n">
        <v>-0.06524435000000001</v>
      </c>
      <c r="DR17" s="11" t="n">
        <v>0.05588481</v>
      </c>
      <c r="DS17" s="11" t="n">
        <v>-0.12431616</v>
      </c>
      <c r="DT17" s="11" t="n">
        <v>0.01674319</v>
      </c>
      <c r="DU17" s="11" t="n">
        <v>-0.12949296</v>
      </c>
      <c r="DV17" s="11" t="n">
        <v>0.11907757</v>
      </c>
      <c r="DW17" s="11" t="n">
        <v>0.05978489</v>
      </c>
      <c r="DX17" s="11" t="n">
        <v>-0.12953898</v>
      </c>
      <c r="DY17" s="11" t="n">
        <v>0.1072829</v>
      </c>
      <c r="DZ17" s="11" t="n">
        <v>0.04921263</v>
      </c>
      <c r="EA17" s="11" t="n">
        <v>0.16457152</v>
      </c>
      <c r="EB17" s="11" t="n">
        <v>0.08710035000000001</v>
      </c>
      <c r="EC17" s="11" t="n">
        <v>-0.02036116</v>
      </c>
      <c r="ED17" s="11" t="n">
        <v>-0.12832444</v>
      </c>
      <c r="EE17" s="11" t="n">
        <v>-0.02541336</v>
      </c>
      <c r="EF17" s="11" t="n">
        <v>0.04770977</v>
      </c>
    </row>
    <row r="18" ht="16.2" customFormat="1" customHeight="1" s="8" thickBot="1">
      <c r="A18" s="50" t="n">
        <v>137</v>
      </c>
      <c r="B18" s="50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0.21209065</v>
      </c>
      <c r="G18" s="11" t="n">
        <v>0.13305806</v>
      </c>
      <c r="H18" s="11" t="n">
        <v>0.12853956</v>
      </c>
      <c r="I18" s="11" t="n">
        <v>0.05495266</v>
      </c>
      <c r="J18" s="11" t="n">
        <v>-0.12516179</v>
      </c>
      <c r="K18" s="11" t="n">
        <v>0.03158645</v>
      </c>
      <c r="L18" s="11" t="n">
        <v>0.04667272</v>
      </c>
      <c r="M18" s="11" t="n">
        <v>0.07934535</v>
      </c>
      <c r="N18" s="11" t="n">
        <v>0.46182002</v>
      </c>
      <c r="O18" s="11" t="n">
        <v>0.02432387</v>
      </c>
      <c r="P18" s="11" t="n">
        <v>0.05456961</v>
      </c>
      <c r="Q18" s="11" t="n">
        <v>0.12173637</v>
      </c>
      <c r="R18" s="11" t="n">
        <v>0.0193262</v>
      </c>
      <c r="S18" s="11" t="n">
        <v>-0.06901334000000001</v>
      </c>
      <c r="T18" s="11" t="n">
        <v>-0.0526381</v>
      </c>
      <c r="U18" s="11" t="n">
        <v>0.02813553</v>
      </c>
      <c r="V18" s="11" t="n">
        <v>-0.13125393</v>
      </c>
      <c r="W18" s="11" t="n">
        <v>0.13791724</v>
      </c>
      <c r="X18" s="11" t="n">
        <v>0.12712281</v>
      </c>
      <c r="Y18" s="11" t="n">
        <v>0.02421381</v>
      </c>
      <c r="Z18" s="11" t="n">
        <v>-0.01690572</v>
      </c>
      <c r="AA18" s="11" t="n">
        <v>0.0548045</v>
      </c>
      <c r="AB18" s="11" t="n">
        <v>-0.06264481</v>
      </c>
      <c r="AC18" s="11" t="n">
        <v>-0.07471982000000001</v>
      </c>
      <c r="AD18" s="11" t="n">
        <v>0.07244378999999999</v>
      </c>
      <c r="AE18" s="11" t="n">
        <v>0.07720159</v>
      </c>
      <c r="AF18" s="11" t="n">
        <v>0.03156086</v>
      </c>
      <c r="AG18" s="11" t="n">
        <v>-0.00861836</v>
      </c>
      <c r="AH18" s="11" t="n">
        <v>-0.04019746</v>
      </c>
      <c r="AI18" s="11" t="n">
        <v>0.04685554</v>
      </c>
      <c r="AJ18" s="11" t="n">
        <v>-0.04739376</v>
      </c>
      <c r="AK18" s="11" t="n">
        <v>0.04570256</v>
      </c>
      <c r="AL18" s="11" t="n">
        <v>0.04586013</v>
      </c>
      <c r="AM18" s="11" t="n">
        <v>0.06664341</v>
      </c>
      <c r="AN18" s="11" t="n">
        <v>0.11682605</v>
      </c>
      <c r="AO18" s="11" t="n">
        <v>0.00542753</v>
      </c>
      <c r="AP18" s="11" t="n">
        <v>-0.08502875999999999</v>
      </c>
      <c r="AQ18" s="11" t="n">
        <v>-0.07623085</v>
      </c>
      <c r="AR18" s="11" t="n">
        <v>0.13270171</v>
      </c>
      <c r="AS18" s="11" t="n">
        <v>0.08582655</v>
      </c>
      <c r="AT18" s="11" t="n">
        <v>0.04332565</v>
      </c>
      <c r="AU18" s="11" t="n">
        <v>0.0623959</v>
      </c>
      <c r="AV18" s="11" t="n">
        <v>-0.02876876</v>
      </c>
      <c r="AW18" s="11" t="n">
        <v>0.02453803</v>
      </c>
      <c r="AX18" s="11" t="n">
        <v>0.10325746</v>
      </c>
      <c r="AY18" s="11" t="n">
        <v>0.03478328</v>
      </c>
      <c r="AZ18" s="11" t="n">
        <v>-0.14840908</v>
      </c>
      <c r="BA18" s="11" t="n">
        <v>0.18047976</v>
      </c>
      <c r="BB18" s="11" t="n">
        <v>0.16725802</v>
      </c>
      <c r="BC18" s="11" t="n">
        <v>0.0939821</v>
      </c>
      <c r="BD18" s="11" t="n">
        <v>-0.01172948</v>
      </c>
      <c r="BE18" s="11" t="n">
        <v>0.06836121000000001</v>
      </c>
      <c r="BF18" s="11" t="n">
        <v>0.04588454</v>
      </c>
      <c r="BG18" s="11" t="n">
        <v>-0.01680624</v>
      </c>
      <c r="BH18" s="11" t="n">
        <v>0.03944029</v>
      </c>
      <c r="BI18" s="11" t="n">
        <v>0.10900001</v>
      </c>
      <c r="BJ18" s="11" t="n">
        <v>0.01144549</v>
      </c>
      <c r="BK18" s="11" t="n">
        <v>-0.05074505</v>
      </c>
      <c r="BL18" s="11" t="n">
        <v>0.08115767</v>
      </c>
      <c r="BM18" s="11" t="n">
        <v>-0.02808136</v>
      </c>
      <c r="BN18" s="11" t="n">
        <v>0.05277439</v>
      </c>
      <c r="BO18" s="11" t="n">
        <v>0.01694786</v>
      </c>
      <c r="BP18" s="11" t="n">
        <v>0.04685754</v>
      </c>
      <c r="BQ18" s="11" t="n">
        <v>0.01890528</v>
      </c>
      <c r="BR18" s="11" t="n">
        <v>-0.00574819</v>
      </c>
      <c r="BS18" s="11" t="n">
        <v>-0.0131139</v>
      </c>
      <c r="BT18" s="11" t="n">
        <v>0.11523675</v>
      </c>
      <c r="BU18" s="11" t="n">
        <v>0.08067744</v>
      </c>
      <c r="BV18" s="11" t="n">
        <v>0.07052164</v>
      </c>
      <c r="BW18" s="11" t="n">
        <v>-0.08531109000000001</v>
      </c>
      <c r="BX18" s="11" t="n">
        <v>0.03312394</v>
      </c>
      <c r="BY18" s="11" t="n">
        <v>-0.12307498</v>
      </c>
      <c r="BZ18" s="11" t="n">
        <v>0.15331999</v>
      </c>
      <c r="CA18" s="11" t="n">
        <v>-0.01607654</v>
      </c>
      <c r="CB18" s="11" t="n">
        <v>-0.03115604</v>
      </c>
      <c r="CC18" s="11" t="n">
        <v>0.10466062</v>
      </c>
      <c r="CD18" s="11" t="n">
        <v>0.05044579</v>
      </c>
      <c r="CE18" s="11" t="n">
        <v>0.07726039</v>
      </c>
      <c r="CF18" s="11" t="n">
        <v>-0.10185862</v>
      </c>
      <c r="CG18" s="11" t="n">
        <v>0.22664141</v>
      </c>
      <c r="CH18" s="11" t="n">
        <v>0.16265705</v>
      </c>
      <c r="CI18" s="11" t="n">
        <v>-0.03886914</v>
      </c>
      <c r="CJ18" s="11" t="n">
        <v>-0.06231368</v>
      </c>
      <c r="CK18" s="11" t="n">
        <v>0.09066778</v>
      </c>
      <c r="CL18" s="11" t="n">
        <v>-0.03098955</v>
      </c>
      <c r="CM18" s="11" t="n">
        <v>0.14364854</v>
      </c>
      <c r="CN18" s="11" t="n">
        <v>-0.03799704</v>
      </c>
      <c r="CO18" s="11" t="n">
        <v>-0.23157388</v>
      </c>
      <c r="CP18" s="11" t="n">
        <v>0.16283911</v>
      </c>
      <c r="CQ18" s="11" t="n">
        <v>-0.03824268</v>
      </c>
      <c r="CR18" s="11" t="n">
        <v>0.0337433</v>
      </c>
      <c r="CS18" s="11" t="n">
        <v>0.02812856</v>
      </c>
      <c r="CT18" s="11" t="n">
        <v>0.09051542999999999</v>
      </c>
      <c r="CU18" s="11" t="n">
        <v>-0.07164869</v>
      </c>
      <c r="CV18" s="11" t="n">
        <v>0.09104028</v>
      </c>
      <c r="CW18" s="11" t="n">
        <v>-0.008456089999999999</v>
      </c>
      <c r="CX18" s="11" t="n">
        <v>0.06156019</v>
      </c>
      <c r="CY18" s="11" t="n">
        <v>-0.05135741</v>
      </c>
      <c r="CZ18" s="11" t="n">
        <v>0.13284286</v>
      </c>
      <c r="DA18" s="11" t="n">
        <v>-0.04530745</v>
      </c>
      <c r="DB18" s="11" t="n">
        <v>0.11811472</v>
      </c>
      <c r="DC18" s="11" t="n">
        <v>0.04920887</v>
      </c>
      <c r="DD18" s="11" t="n">
        <v>-0.0710713</v>
      </c>
      <c r="DE18" s="11" t="n">
        <v>-0.03284814</v>
      </c>
      <c r="DF18" s="11" t="n">
        <v>-0.03504278</v>
      </c>
      <c r="DG18" s="11" t="n">
        <v>-0.00761947</v>
      </c>
      <c r="DH18" s="11" t="n">
        <v>-0.02803801</v>
      </c>
      <c r="DI18" s="11" t="n">
        <v>-0.01611463</v>
      </c>
      <c r="DJ18" s="11" t="n">
        <v>0.05065451</v>
      </c>
      <c r="DK18" s="11" t="n">
        <v>0.15851363</v>
      </c>
      <c r="DL18" s="11" t="n">
        <v>0.06525277</v>
      </c>
      <c r="DM18" s="11" t="n">
        <v>-0.06650813999999999</v>
      </c>
      <c r="DN18" s="11" t="n">
        <v>-0.01672206</v>
      </c>
      <c r="DO18" s="11" t="n">
        <v>0.04210491</v>
      </c>
      <c r="DP18" s="11" t="n">
        <v>-0.02060469</v>
      </c>
      <c r="DQ18" s="11" t="n">
        <v>-0.06195553</v>
      </c>
      <c r="DR18" s="11" t="n">
        <v>0.07684065</v>
      </c>
      <c r="DS18" s="11" t="n">
        <v>-0.147722</v>
      </c>
      <c r="DT18" s="11" t="n">
        <v>-0.00740739</v>
      </c>
      <c r="DU18" s="11" t="n">
        <v>-0.15871482</v>
      </c>
      <c r="DV18" s="11" t="n">
        <v>0.10564061</v>
      </c>
      <c r="DW18" s="11" t="n">
        <v>0.08190869000000001</v>
      </c>
      <c r="DX18" s="11" t="n">
        <v>-0.15360298</v>
      </c>
      <c r="DY18" s="11" t="n">
        <v>0.13683311</v>
      </c>
      <c r="DZ18" s="11" t="n">
        <v>0.05463037</v>
      </c>
      <c r="EA18" s="11" t="n">
        <v>0.19894575</v>
      </c>
      <c r="EB18" s="11" t="n">
        <v>0.09984638</v>
      </c>
      <c r="EC18" s="11" t="n">
        <v>-0.01960052</v>
      </c>
      <c r="ED18" s="11" t="n">
        <v>-0.11047802</v>
      </c>
      <c r="EE18" s="11" t="n">
        <v>-0.01385375</v>
      </c>
      <c r="EF18" s="11" t="n">
        <v>0.04895502</v>
      </c>
    </row>
    <row r="19" ht="16.2" customFormat="1" customHeight="1" s="8" thickBot="1">
      <c r="A19" s="50" t="n">
        <v>160</v>
      </c>
      <c r="B19" s="50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0.23617047</v>
      </c>
      <c r="G19" s="11" t="n">
        <v>0.15286434</v>
      </c>
      <c r="H19" s="11" t="n">
        <v>0.17761032</v>
      </c>
      <c r="I19" s="11" t="n">
        <v>0.04746341</v>
      </c>
      <c r="J19" s="11" t="n">
        <v>-0.15623035</v>
      </c>
      <c r="K19" s="11" t="n">
        <v>0.05654097</v>
      </c>
      <c r="L19" s="11" t="n">
        <v>0.03036283</v>
      </c>
      <c r="M19" s="11" t="n">
        <v>0.08579357</v>
      </c>
      <c r="N19" s="11" t="n">
        <v>0.53237404</v>
      </c>
      <c r="O19" s="11" t="n">
        <v>-0.01979743</v>
      </c>
      <c r="P19" s="11" t="n">
        <v>0.02278521</v>
      </c>
      <c r="Q19" s="11" t="n">
        <v>0.17046229</v>
      </c>
      <c r="R19" s="11" t="n">
        <v>0.04194263</v>
      </c>
      <c r="S19" s="11" t="n">
        <v>-0.07869626</v>
      </c>
      <c r="T19" s="11" t="n">
        <v>-0.02528021</v>
      </c>
      <c r="U19" s="11" t="n">
        <v>0.04418686</v>
      </c>
      <c r="V19" s="11" t="n">
        <v>-0.11868446</v>
      </c>
      <c r="W19" s="11" t="n">
        <v>0.14662099</v>
      </c>
      <c r="X19" s="11" t="n">
        <v>0.12292315</v>
      </c>
      <c r="Y19" s="11" t="n">
        <v>0.02406431</v>
      </c>
      <c r="Z19" s="11" t="n">
        <v>-0.02222324</v>
      </c>
      <c r="AA19" s="11" t="n">
        <v>0.04730012</v>
      </c>
      <c r="AB19" s="11" t="n">
        <v>-0.05171875</v>
      </c>
      <c r="AC19" s="11" t="n">
        <v>-0.08351287</v>
      </c>
      <c r="AD19" s="11" t="n">
        <v>0.02399746</v>
      </c>
      <c r="AE19" s="11" t="n">
        <v>0.11523187</v>
      </c>
      <c r="AF19" s="11" t="n">
        <v>0.03878567</v>
      </c>
      <c r="AG19" s="11" t="n">
        <v>0.01929755</v>
      </c>
      <c r="AH19" s="11" t="n">
        <v>-0.05655772</v>
      </c>
      <c r="AI19" s="11" t="n">
        <v>0.08177012</v>
      </c>
      <c r="AJ19" s="11" t="n">
        <v>-0.05154529</v>
      </c>
      <c r="AK19" s="11" t="n">
        <v>0.00755204</v>
      </c>
      <c r="AL19" s="11" t="n">
        <v>0.07027095</v>
      </c>
      <c r="AM19" s="11" t="n">
        <v>0.04310601</v>
      </c>
      <c r="AN19" s="11" t="n">
        <v>0.08356829</v>
      </c>
      <c r="AO19" s="11" t="n">
        <v>0.0258929</v>
      </c>
      <c r="AP19" s="11" t="n">
        <v>-0.08757412000000001</v>
      </c>
      <c r="AQ19" s="11" t="n">
        <v>-0.08825276</v>
      </c>
      <c r="AR19" s="11" t="n">
        <v>0.16303313</v>
      </c>
      <c r="AS19" s="11" t="n">
        <v>0.09779696</v>
      </c>
      <c r="AT19" s="11" t="n">
        <v>0.04929498</v>
      </c>
      <c r="AU19" s="11" t="n">
        <v>0.07642872000000001</v>
      </c>
      <c r="AV19" s="11" t="n">
        <v>-0.0484631</v>
      </c>
      <c r="AW19" s="11" t="n">
        <v>0.02235617</v>
      </c>
      <c r="AX19" s="11" t="n">
        <v>0.07518577</v>
      </c>
      <c r="AY19" s="11" t="n">
        <v>0.02952897</v>
      </c>
      <c r="AZ19" s="11" t="n">
        <v>-0.18687962</v>
      </c>
      <c r="BA19" s="11" t="n">
        <v>0.18699678</v>
      </c>
      <c r="BB19" s="11" t="n">
        <v>0.20180191</v>
      </c>
      <c r="BC19" s="11" t="n">
        <v>0.06405549000000001</v>
      </c>
      <c r="BD19" s="11" t="n">
        <v>-0.00323439</v>
      </c>
      <c r="BE19" s="11" t="n">
        <v>0.0538675</v>
      </c>
      <c r="BF19" s="11" t="n">
        <v>0.01357097</v>
      </c>
      <c r="BG19" s="11" t="n">
        <v>-0.01634366</v>
      </c>
      <c r="BH19" s="11" t="n">
        <v>0.0020182</v>
      </c>
      <c r="BI19" s="11" t="n">
        <v>0.12779863</v>
      </c>
      <c r="BJ19" s="11" t="n">
        <v>0.0217073</v>
      </c>
      <c r="BK19" s="11" t="n">
        <v>-0.05174953</v>
      </c>
      <c r="BL19" s="11" t="n">
        <v>0.09159567</v>
      </c>
      <c r="BM19" s="11" t="n">
        <v>-0.03178626</v>
      </c>
      <c r="BN19" s="11" t="n">
        <v>0.06725265</v>
      </c>
      <c r="BO19" s="11" t="n">
        <v>0.02572896</v>
      </c>
      <c r="BP19" s="11" t="n">
        <v>0.03742626</v>
      </c>
      <c r="BQ19" s="11" t="n">
        <v>0.00993404</v>
      </c>
      <c r="BR19" s="11" t="n">
        <v>0.00667525</v>
      </c>
      <c r="BS19" s="11" t="n">
        <v>-0.02425634</v>
      </c>
      <c r="BT19" s="11" t="n">
        <v>0.14163268</v>
      </c>
      <c r="BU19" s="11" t="n">
        <v>0.07593625</v>
      </c>
      <c r="BV19" s="11" t="n">
        <v>0.09365524</v>
      </c>
      <c r="BW19" s="11" t="n">
        <v>-0.10896696</v>
      </c>
      <c r="BX19" s="11" t="n">
        <v>0.03408779</v>
      </c>
      <c r="BY19" s="11" t="n">
        <v>-0.10764974</v>
      </c>
      <c r="BZ19" s="11" t="n">
        <v>0.06381539</v>
      </c>
      <c r="CA19" s="11" t="n">
        <v>-0.02932876</v>
      </c>
      <c r="CB19" s="11" t="n">
        <v>-0.04804117</v>
      </c>
      <c r="CC19" s="11" t="n">
        <v>0.02250623</v>
      </c>
      <c r="CD19" s="11" t="n">
        <v>0.08766495000000001</v>
      </c>
      <c r="CE19" s="11" t="n">
        <v>0.08847486</v>
      </c>
      <c r="CF19" s="11" t="n">
        <v>-0.11169849</v>
      </c>
      <c r="CG19" s="11" t="n">
        <v>0.26389313</v>
      </c>
      <c r="CH19" s="11" t="n">
        <v>0.15288987</v>
      </c>
      <c r="CI19" s="11" t="n">
        <v>-0.03706695</v>
      </c>
      <c r="CJ19" s="11" t="n">
        <v>-0.0619405</v>
      </c>
      <c r="CK19" s="11" t="n">
        <v>0.10396772</v>
      </c>
      <c r="CL19" s="11" t="n">
        <v>-0.04324028</v>
      </c>
      <c r="CM19" s="11" t="n">
        <v>0.17534764</v>
      </c>
      <c r="CN19" s="11" t="n">
        <v>-0.07693265000000001</v>
      </c>
      <c r="CO19" s="11" t="n">
        <v>-0.2724544</v>
      </c>
      <c r="CP19" s="11" t="n">
        <v>0.1590326</v>
      </c>
      <c r="CQ19" s="11" t="n">
        <v>-0.03239461</v>
      </c>
      <c r="CR19" s="11" t="n">
        <v>0.0242992</v>
      </c>
      <c r="CS19" s="11" t="n">
        <v>0.04377499</v>
      </c>
      <c r="CT19" s="11" t="n">
        <v>0.12262043</v>
      </c>
      <c r="CU19" s="11" t="n">
        <v>-0.08343639999999999</v>
      </c>
      <c r="CV19" s="11" t="n">
        <v>0.10197986</v>
      </c>
      <c r="CW19" s="11" t="n">
        <v>-0.02190181</v>
      </c>
      <c r="CX19" s="11" t="n">
        <v>0.05763473</v>
      </c>
      <c r="CY19" s="11" t="n">
        <v>-0.07092187</v>
      </c>
      <c r="CZ19" s="11" t="n">
        <v>0.11285183</v>
      </c>
      <c r="DA19" s="11" t="n">
        <v>-0.05822388</v>
      </c>
      <c r="DB19" s="11" t="n">
        <v>0.14796185</v>
      </c>
      <c r="DC19" s="11" t="n">
        <v>0.03027646</v>
      </c>
      <c r="DD19" s="11" t="n">
        <v>-0.06354746</v>
      </c>
      <c r="DE19" s="11" t="n">
        <v>-0.0444313</v>
      </c>
      <c r="DF19" s="11" t="n">
        <v>-0.06969305000000001</v>
      </c>
      <c r="DG19" s="11" t="n">
        <v>-0.00267586</v>
      </c>
      <c r="DH19" s="11" t="n">
        <v>-0.00015698</v>
      </c>
      <c r="DI19" s="11" t="n">
        <v>0.00366642</v>
      </c>
      <c r="DJ19" s="11" t="n">
        <v>0.0804996</v>
      </c>
      <c r="DK19" s="11" t="n">
        <v>0.12414459</v>
      </c>
      <c r="DL19" s="11" t="n">
        <v>0.07016741</v>
      </c>
      <c r="DM19" s="11" t="n">
        <v>-0.08195226</v>
      </c>
      <c r="DN19" s="11" t="n">
        <v>0.00247512</v>
      </c>
      <c r="DO19" s="11" t="n">
        <v>0.05514805</v>
      </c>
      <c r="DP19" s="11" t="n">
        <v>0.02783801</v>
      </c>
      <c r="DQ19" s="11" t="n">
        <v>-0.05062317</v>
      </c>
      <c r="DR19" s="11" t="n">
        <v>0.07596235</v>
      </c>
      <c r="DS19" s="11" t="n">
        <v>-0.17799555</v>
      </c>
      <c r="DT19" s="11" t="n">
        <v>-0.00307613</v>
      </c>
      <c r="DU19" s="11" t="n">
        <v>-0.15058192</v>
      </c>
      <c r="DV19" s="11" t="n">
        <v>0.11953184</v>
      </c>
      <c r="DW19" s="11" t="n">
        <v>0.06060914</v>
      </c>
      <c r="DX19" s="11" t="n">
        <v>-0.13836513</v>
      </c>
      <c r="DY19" s="11" t="n">
        <v>0.13924868</v>
      </c>
      <c r="DZ19" s="11" t="n">
        <v>0.07853795</v>
      </c>
      <c r="EA19" s="11" t="n">
        <v>0.23304583</v>
      </c>
      <c r="EB19" s="11" t="n">
        <v>0.02177277</v>
      </c>
      <c r="EC19" s="11" t="n">
        <v>-0.03132511</v>
      </c>
      <c r="ED19" s="11" t="n">
        <v>-0.15093532</v>
      </c>
      <c r="EE19" s="11" t="n">
        <v>0.01263404</v>
      </c>
      <c r="EF19" s="11" t="n">
        <v>0.01697795</v>
      </c>
    </row>
    <row r="20" ht="16.2" customFormat="1" customHeight="1" s="8" thickBot="1">
      <c r="A20" s="50" t="n">
        <v>192</v>
      </c>
      <c r="B20" s="50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0.18241962</v>
      </c>
      <c r="G20" s="11" t="n">
        <v>0.15802736</v>
      </c>
      <c r="H20" s="11" t="n">
        <v>0.14393228</v>
      </c>
      <c r="I20" s="11" t="n">
        <v>0.02793554</v>
      </c>
      <c r="J20" s="11" t="n">
        <v>-0.13320729</v>
      </c>
      <c r="K20" s="11" t="n">
        <v>0.03740468</v>
      </c>
      <c r="L20" s="11" t="n">
        <v>0.03069548</v>
      </c>
      <c r="M20" s="11" t="n">
        <v>0.10013341</v>
      </c>
      <c r="N20" s="11" t="n">
        <v>0.50001148</v>
      </c>
      <c r="O20" s="11" t="n">
        <v>-0.11011453</v>
      </c>
      <c r="P20" s="11" t="n">
        <v>0.04002849</v>
      </c>
      <c r="Q20" s="11" t="n">
        <v>0.22482481</v>
      </c>
      <c r="R20" s="11" t="n">
        <v>0.06646963</v>
      </c>
      <c r="S20" s="11" t="n">
        <v>-0.05734108</v>
      </c>
      <c r="T20" s="11" t="n">
        <v>0.01566291</v>
      </c>
      <c r="U20" s="11" t="n">
        <v>0.03223766</v>
      </c>
      <c r="V20" s="11" t="n">
        <v>-0.13628806</v>
      </c>
      <c r="W20" s="11" t="n">
        <v>0.17308538</v>
      </c>
      <c r="X20" s="11" t="n">
        <v>0.15004231</v>
      </c>
      <c r="Y20" s="11" t="n">
        <v>-0.00485576</v>
      </c>
      <c r="Z20" s="11" t="n">
        <v>0.02915735</v>
      </c>
      <c r="AA20" s="11" t="n">
        <v>0.06696198</v>
      </c>
      <c r="AB20" s="11" t="n">
        <v>-0.03289855</v>
      </c>
      <c r="AC20" s="11" t="n">
        <v>-0.09630904</v>
      </c>
      <c r="AD20" s="11" t="n">
        <v>0.0269873</v>
      </c>
      <c r="AE20" s="11" t="n">
        <v>0.01731115</v>
      </c>
      <c r="AF20" s="11" t="n">
        <v>0.03904468</v>
      </c>
      <c r="AG20" s="11" t="n">
        <v>-0.00624174</v>
      </c>
      <c r="AH20" s="11" t="n">
        <v>-0.0901782</v>
      </c>
      <c r="AI20" s="11" t="n">
        <v>0.07815453999999999</v>
      </c>
      <c r="AJ20" s="11" t="n">
        <v>-0.06199003</v>
      </c>
      <c r="AK20" s="11" t="n">
        <v>-0.01359512</v>
      </c>
      <c r="AL20" s="11" t="n">
        <v>0.07289345</v>
      </c>
      <c r="AM20" s="11" t="n">
        <v>0.03309598</v>
      </c>
      <c r="AN20" s="11" t="n">
        <v>0.0645854</v>
      </c>
      <c r="AO20" s="11" t="n">
        <v>0.04528508</v>
      </c>
      <c r="AP20" s="11" t="n">
        <v>-0.11055597</v>
      </c>
      <c r="AQ20" s="11" t="n">
        <v>0.02745249</v>
      </c>
      <c r="AR20" s="11" t="n">
        <v>0.17752094</v>
      </c>
      <c r="AS20" s="11" t="n">
        <v>0.11209581</v>
      </c>
      <c r="AT20" s="11" t="n">
        <v>0.00585877</v>
      </c>
      <c r="AU20" s="11" t="n">
        <v>0.07289982</v>
      </c>
      <c r="AV20" s="11" t="n">
        <v>-0.05462571</v>
      </c>
      <c r="AW20" s="11" t="n">
        <v>0.00686527</v>
      </c>
      <c r="AX20" s="11" t="n">
        <v>0.11073255</v>
      </c>
      <c r="AY20" s="11" t="n">
        <v>0.0386747</v>
      </c>
      <c r="AZ20" s="11" t="n">
        <v>-0.21380243</v>
      </c>
      <c r="BA20" s="11" t="n">
        <v>0.15133773</v>
      </c>
      <c r="BB20" s="11" t="n">
        <v>0.23121363</v>
      </c>
      <c r="BC20" s="11" t="n">
        <v>0.07060557000000001</v>
      </c>
      <c r="BD20" s="11" t="n">
        <v>-0.05342981</v>
      </c>
      <c r="BE20" s="11" t="n">
        <v>-0.0059468</v>
      </c>
      <c r="BF20" s="11" t="n">
        <v>0.00568858</v>
      </c>
      <c r="BG20" s="11" t="n">
        <v>0.00378214</v>
      </c>
      <c r="BH20" s="11" t="n">
        <v>-0.07160645</v>
      </c>
      <c r="BI20" s="11" t="n">
        <v>0.16438674</v>
      </c>
      <c r="BJ20" s="11" t="n">
        <v>0.02162951</v>
      </c>
      <c r="BK20" s="11" t="n">
        <v>-0.05923317</v>
      </c>
      <c r="BL20" s="11" t="n">
        <v>0.08629223</v>
      </c>
      <c r="BM20" s="11" t="n">
        <v>-0.04746855</v>
      </c>
      <c r="BN20" s="11" t="n">
        <v>0.11855724</v>
      </c>
      <c r="BO20" s="11" t="n">
        <v>-0.03846172</v>
      </c>
      <c r="BP20" s="11" t="n">
        <v>0.06040752</v>
      </c>
      <c r="BQ20" s="11" t="n">
        <v>0.01545171</v>
      </c>
      <c r="BR20" s="11" t="n">
        <v>0.01338515</v>
      </c>
      <c r="BS20" s="11" t="n">
        <v>0.00540751</v>
      </c>
      <c r="BT20" s="11" t="n">
        <v>0.14411566</v>
      </c>
      <c r="BU20" s="11" t="n">
        <v>0.09875494999999999</v>
      </c>
      <c r="BV20" s="11" t="n">
        <v>0.11591833</v>
      </c>
      <c r="BW20" s="11" t="n">
        <v>-0.13550325</v>
      </c>
      <c r="BX20" s="11" t="n">
        <v>0.03069364</v>
      </c>
      <c r="BY20" s="11" t="n">
        <v>-0.10523397</v>
      </c>
      <c r="BZ20" s="11" t="n">
        <v>0.0902714</v>
      </c>
      <c r="CA20" s="11" t="n">
        <v>-0.0113335</v>
      </c>
      <c r="CB20" s="11" t="n">
        <v>-0.01127996</v>
      </c>
      <c r="CC20" s="11" t="n">
        <v>0.01291515</v>
      </c>
      <c r="CD20" s="11" t="n">
        <v>0.09606465</v>
      </c>
      <c r="CE20" s="11" t="n">
        <v>0.08577817</v>
      </c>
      <c r="CF20" s="11" t="n">
        <v>-0.13120856</v>
      </c>
      <c r="CG20" s="11" t="n">
        <v>0.32193852</v>
      </c>
      <c r="CH20" s="11" t="n">
        <v>0.07186403</v>
      </c>
      <c r="CI20" s="11" t="n">
        <v>-0.03039467</v>
      </c>
      <c r="CJ20" s="11" t="n">
        <v>-0.12344032</v>
      </c>
      <c r="CK20" s="11" t="n">
        <v>0.0909784</v>
      </c>
      <c r="CL20" s="11" t="n">
        <v>-0.09218493</v>
      </c>
      <c r="CM20" s="11" t="n">
        <v>0.18905117</v>
      </c>
      <c r="CN20" s="11" t="n">
        <v>0.02215941</v>
      </c>
      <c r="CO20" s="11" t="n">
        <v>-0.41597134</v>
      </c>
      <c r="CP20" s="11" t="n">
        <v>0.19203121</v>
      </c>
      <c r="CQ20" s="11" t="n">
        <v>-0.02311805</v>
      </c>
      <c r="CR20" s="11" t="n">
        <v>0.02536255</v>
      </c>
      <c r="CS20" s="11" t="n">
        <v>0.02229304</v>
      </c>
      <c r="CT20" s="11" t="n">
        <v>0.09047404000000001</v>
      </c>
      <c r="CU20" s="11" t="n">
        <v>-0.09486766000000001</v>
      </c>
      <c r="CV20" s="11" t="n">
        <v>0.09251108</v>
      </c>
      <c r="CW20" s="11" t="n">
        <v>0.00995306</v>
      </c>
      <c r="CX20" s="11" t="n">
        <v>0.09029855000000001</v>
      </c>
      <c r="CY20" s="11" t="n">
        <v>-0.01247973</v>
      </c>
      <c r="CZ20" s="11" t="n">
        <v>0.15516165</v>
      </c>
      <c r="DA20" s="11" t="n">
        <v>-0.04747189</v>
      </c>
      <c r="DB20" s="11" t="n">
        <v>0.07696807</v>
      </c>
      <c r="DC20" s="11" t="n">
        <v>0.02890116</v>
      </c>
      <c r="DD20" s="11" t="n">
        <v>-0.06816301</v>
      </c>
      <c r="DE20" s="11" t="n">
        <v>-0.02674986</v>
      </c>
      <c r="DF20" s="11" t="n">
        <v>0.00085912</v>
      </c>
      <c r="DG20" s="11" t="n">
        <v>-0.00420221</v>
      </c>
      <c r="DH20" s="11" t="n">
        <v>-0.01097541</v>
      </c>
      <c r="DI20" s="11" t="n">
        <v>-0.00775757</v>
      </c>
      <c r="DJ20" s="11" t="n">
        <v>0.08127702000000001</v>
      </c>
      <c r="DK20" s="11" t="n">
        <v>0.08495398</v>
      </c>
      <c r="DL20" s="11" t="n">
        <v>0.07582664</v>
      </c>
      <c r="DM20" s="11" t="n">
        <v>0.009283649999999999</v>
      </c>
      <c r="DN20" s="11" t="n">
        <v>0.05801921</v>
      </c>
      <c r="DO20" s="11" t="n">
        <v>0.06581579999999999</v>
      </c>
      <c r="DP20" s="11" t="n">
        <v>0.009830530000000001</v>
      </c>
      <c r="DQ20" s="11" t="n">
        <v>-0.03854031</v>
      </c>
      <c r="DR20" s="11" t="n">
        <v>0.07851266</v>
      </c>
      <c r="DS20" s="11" t="n">
        <v>-0.20740434</v>
      </c>
      <c r="DT20" s="11" t="n">
        <v>0.00482934</v>
      </c>
      <c r="DU20" s="11" t="n">
        <v>-0.17637517</v>
      </c>
      <c r="DV20" s="11" t="n">
        <v>0.12934547</v>
      </c>
      <c r="DW20" s="11" t="n">
        <v>0.0690602</v>
      </c>
      <c r="DX20" s="11" t="n">
        <v>-0.15386633</v>
      </c>
      <c r="DY20" s="11" t="n">
        <v>0.12159146</v>
      </c>
      <c r="DZ20" s="11" t="n">
        <v>0.09019965000000001</v>
      </c>
      <c r="EA20" s="11" t="n">
        <v>0.29368998</v>
      </c>
      <c r="EB20" s="11" t="n">
        <v>0.03906763</v>
      </c>
      <c r="EC20" s="11" t="n">
        <v>0.02297641</v>
      </c>
      <c r="ED20" s="11" t="n">
        <v>-0.17691886</v>
      </c>
      <c r="EE20" s="11" t="n">
        <v>0.00236723</v>
      </c>
      <c r="EF20" s="11" t="n">
        <v>0.02028142</v>
      </c>
    </row>
    <row r="21" ht="16.2" customFormat="1" customHeight="1" s="8" thickBot="1">
      <c r="A21" s="50" t="n">
        <v>241</v>
      </c>
      <c r="B21" s="50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0.2034135</v>
      </c>
      <c r="G21" s="11" t="n">
        <v>0.14533186</v>
      </c>
      <c r="H21" s="11" t="n">
        <v>0.16216409</v>
      </c>
      <c r="I21" s="11" t="n">
        <v>0.01411128</v>
      </c>
      <c r="J21" s="11" t="n">
        <v>-0.13674292</v>
      </c>
      <c r="K21" s="11" t="n">
        <v>0.0014703</v>
      </c>
      <c r="L21" s="11" t="n">
        <v>-0.00502915</v>
      </c>
      <c r="M21" s="11" t="n">
        <v>-0.1958705</v>
      </c>
      <c r="N21" s="11" t="n">
        <v>0.58489126</v>
      </c>
      <c r="O21" s="11" t="n">
        <v>-0.13927749</v>
      </c>
      <c r="P21" s="11" t="n">
        <v>0.04542719</v>
      </c>
      <c r="Q21" s="11" t="n">
        <v>0.27408345</v>
      </c>
      <c r="R21" s="11" t="n">
        <v>0.08490523</v>
      </c>
      <c r="S21" s="11" t="n">
        <v>-0.03656329</v>
      </c>
      <c r="T21" s="11" t="n">
        <v>-0.01404036</v>
      </c>
      <c r="U21" s="11" t="n">
        <v>-0.009824640000000001</v>
      </c>
      <c r="V21" s="11" t="n">
        <v>-0.13175049</v>
      </c>
      <c r="W21" s="11" t="n">
        <v>0.16036516</v>
      </c>
      <c r="X21" s="11" t="n">
        <v>0.20780127</v>
      </c>
      <c r="Y21" s="11" t="n">
        <v>-0.01014366</v>
      </c>
      <c r="Z21" s="11" t="n">
        <v>0.03945772</v>
      </c>
      <c r="AA21" s="11" t="n">
        <v>0.02803346</v>
      </c>
      <c r="AB21" s="11" t="n">
        <v>-0.02195594</v>
      </c>
      <c r="AC21" s="11" t="n">
        <v>-0.15954227</v>
      </c>
      <c r="AD21" s="11" t="n">
        <v>-0.02593328</v>
      </c>
      <c r="AE21" s="11" t="n">
        <v>0.01031161</v>
      </c>
      <c r="AF21" s="11" t="n">
        <v>0.05312561</v>
      </c>
      <c r="AG21" s="11" t="n">
        <v>-0.01057075</v>
      </c>
      <c r="AH21" s="11" t="n">
        <v>-0.11420601</v>
      </c>
      <c r="AI21" s="11" t="n">
        <v>0.07959421</v>
      </c>
      <c r="AJ21" s="11" t="n">
        <v>-0.07040534</v>
      </c>
      <c r="AK21" s="11" t="n">
        <v>-0.03580317</v>
      </c>
      <c r="AL21" s="11" t="n">
        <v>0.06537982000000001</v>
      </c>
      <c r="AM21" s="11" t="n">
        <v>0.06485697999999999</v>
      </c>
      <c r="AN21" s="11" t="n">
        <v>0.11195606</v>
      </c>
      <c r="AO21" s="11" t="n">
        <v>0.0477264</v>
      </c>
      <c r="AP21" s="11" t="n">
        <v>-0.04606702</v>
      </c>
      <c r="AQ21" s="11" t="n">
        <v>0.02459114</v>
      </c>
      <c r="AR21" s="11" t="n">
        <v>0.20518228</v>
      </c>
      <c r="AS21" s="11" t="n">
        <v>0.06445587</v>
      </c>
      <c r="AT21" s="11" t="n">
        <v>-0.00249291</v>
      </c>
      <c r="AU21" s="11" t="n">
        <v>0.04780963</v>
      </c>
      <c r="AV21" s="11" t="n">
        <v>-0.05552078</v>
      </c>
      <c r="AW21" s="11" t="n">
        <v>0.009791029999999999</v>
      </c>
      <c r="AX21" s="11" t="n">
        <v>0.14314769</v>
      </c>
      <c r="AY21" s="11" t="n">
        <v>0.04702129</v>
      </c>
      <c r="AZ21" s="11" t="n">
        <v>-0.25491127</v>
      </c>
      <c r="BA21" s="11" t="n">
        <v>0.13959268</v>
      </c>
      <c r="BB21" s="11" t="n">
        <v>0.29451264</v>
      </c>
      <c r="BC21" s="11" t="n">
        <v>0.03832115</v>
      </c>
      <c r="BD21" s="11" t="n">
        <v>-0.02175086</v>
      </c>
      <c r="BE21" s="11" t="n">
        <v>0.00635053</v>
      </c>
      <c r="BF21" s="11" t="n">
        <v>0.00255924</v>
      </c>
      <c r="BG21" s="11" t="n">
        <v>0.01324431</v>
      </c>
      <c r="BH21" s="11" t="n">
        <v>-0.0480537</v>
      </c>
      <c r="BI21" s="11" t="n">
        <v>0.1659696</v>
      </c>
      <c r="BJ21" s="11" t="n">
        <v>0.02357903</v>
      </c>
      <c r="BK21" s="11" t="n">
        <v>-0.06844988</v>
      </c>
      <c r="BL21" s="11" t="n">
        <v>0.14272109</v>
      </c>
      <c r="BM21" s="11" t="n">
        <v>-0.04079529</v>
      </c>
      <c r="BN21" s="11" t="n">
        <v>0.06364794999999999</v>
      </c>
      <c r="BO21" s="11" t="n">
        <v>-0.06385724</v>
      </c>
      <c r="BP21" s="11" t="n">
        <v>0.10450913</v>
      </c>
      <c r="BQ21" s="11" t="n">
        <v>0.05454223</v>
      </c>
      <c r="BR21" s="11" t="n">
        <v>0.01880519</v>
      </c>
      <c r="BS21" s="11" t="n">
        <v>0.01376079</v>
      </c>
      <c r="BT21" s="11" t="n">
        <v>0.16797312</v>
      </c>
      <c r="BU21" s="11" t="n">
        <v>0.13549646</v>
      </c>
      <c r="BV21" s="11" t="n">
        <v>0.142143</v>
      </c>
      <c r="BW21" s="11" t="n">
        <v>-0.1466792</v>
      </c>
      <c r="BX21" s="11" t="n">
        <v>-0.00299082</v>
      </c>
      <c r="BY21" s="11" t="n">
        <v>-0.05037985</v>
      </c>
      <c r="BZ21" s="11" t="n">
        <v>0.04766293</v>
      </c>
      <c r="CA21" s="11" t="n">
        <v>-0.06303215</v>
      </c>
      <c r="CB21" s="11" t="n">
        <v>-0.07852861999999999</v>
      </c>
      <c r="CC21" s="11" t="n">
        <v>-0.00801895</v>
      </c>
      <c r="CD21" s="11" t="n">
        <v>0.08442355</v>
      </c>
      <c r="CE21" s="11" t="n">
        <v>0.06151488</v>
      </c>
      <c r="CF21" s="11" t="n">
        <v>-0.12717048</v>
      </c>
      <c r="CG21" s="11" t="n">
        <v>0.32016678</v>
      </c>
      <c r="CH21" s="11" t="n">
        <v>0.07413707999999999</v>
      </c>
      <c r="CI21" s="11" t="n">
        <v>-0.08049961999999999</v>
      </c>
      <c r="CJ21" s="11" t="n">
        <v>-0.08562776</v>
      </c>
      <c r="CK21" s="11" t="n">
        <v>0.12705055</v>
      </c>
      <c r="CL21" s="11" t="n">
        <v>-0.21045238</v>
      </c>
      <c r="CM21" s="11" t="n">
        <v>0.22550299</v>
      </c>
      <c r="CN21" s="11" t="n">
        <v>0.03053889</v>
      </c>
      <c r="CO21" s="11" t="n">
        <v>-0.5148652500000001</v>
      </c>
      <c r="CP21" s="11" t="n">
        <v>0.22270006</v>
      </c>
      <c r="CQ21" s="11" t="n">
        <v>-0.02291219</v>
      </c>
      <c r="CR21" s="11" t="n">
        <v>0.01161579</v>
      </c>
      <c r="CS21" s="11" t="n">
        <v>0.03090775</v>
      </c>
      <c r="CT21" s="11" t="n">
        <v>0.08229287</v>
      </c>
      <c r="CU21" s="11" t="n">
        <v>-0.06267356</v>
      </c>
      <c r="CV21" s="11" t="n">
        <v>0.09822562999999999</v>
      </c>
      <c r="CW21" s="11" t="n">
        <v>0.06500541999999999</v>
      </c>
      <c r="CX21" s="11" t="n">
        <v>0.10212218</v>
      </c>
      <c r="CY21" s="11" t="n">
        <v>-0.00848192</v>
      </c>
      <c r="CZ21" s="11" t="n">
        <v>0.23745137</v>
      </c>
      <c r="DA21" s="11" t="n">
        <v>0.00119226</v>
      </c>
      <c r="DB21" s="11" t="n">
        <v>0.07146121</v>
      </c>
      <c r="DC21" s="11" t="n">
        <v>0.04830915</v>
      </c>
      <c r="DD21" s="11" t="n">
        <v>-0.0670275</v>
      </c>
      <c r="DE21" s="11" t="n">
        <v>0.01223811</v>
      </c>
      <c r="DF21" s="11" t="n">
        <v>0.02156088</v>
      </c>
      <c r="DG21" s="11" t="n">
        <v>0.00784638</v>
      </c>
      <c r="DH21" s="11" t="n">
        <v>0.01407682</v>
      </c>
      <c r="DI21" s="11" t="n">
        <v>0.03440748</v>
      </c>
      <c r="DJ21" s="11" t="n">
        <v>0.07330279000000001</v>
      </c>
      <c r="DK21" s="11" t="n">
        <v>0.13950271</v>
      </c>
      <c r="DL21" s="11" t="n">
        <v>0.10695985</v>
      </c>
      <c r="DM21" s="11" t="n">
        <v>-0.02983412</v>
      </c>
      <c r="DN21" s="11" t="n">
        <v>0.07119760999999999</v>
      </c>
      <c r="DO21" s="11" t="n">
        <v>0.08244579</v>
      </c>
      <c r="DP21" s="11" t="n">
        <v>0.02426616</v>
      </c>
      <c r="DQ21" s="11" t="n">
        <v>-0.02821605</v>
      </c>
      <c r="DR21" s="11" t="n">
        <v>0.05017086</v>
      </c>
      <c r="DS21" s="11" t="n">
        <v>-0.20249353</v>
      </c>
      <c r="DT21" s="11" t="n">
        <v>-0.009708639999999999</v>
      </c>
      <c r="DU21" s="11" t="n">
        <v>-0.14861472</v>
      </c>
      <c r="DV21" s="11" t="n">
        <v>0.14027598</v>
      </c>
      <c r="DW21" s="11" t="n">
        <v>0.15158288</v>
      </c>
      <c r="DX21" s="11" t="n">
        <v>-0.18596621</v>
      </c>
      <c r="DY21" s="11" t="n">
        <v>0.16673097</v>
      </c>
      <c r="DZ21" s="11" t="n">
        <v>0.09893057</v>
      </c>
      <c r="EA21" s="11" t="n">
        <v>0.26605683</v>
      </c>
      <c r="EB21" s="11" t="n">
        <v>0.00840815</v>
      </c>
      <c r="EC21" s="11" t="n">
        <v>0.02718893</v>
      </c>
      <c r="ED21" s="11" t="n">
        <v>-0.05449886</v>
      </c>
      <c r="EE21" s="11" t="n">
        <v>0.01442885</v>
      </c>
      <c r="EF21" s="11" t="n">
        <v>-0.0079916</v>
      </c>
    </row>
    <row r="22" ht="16.2" customFormat="1" customHeight="1" s="8" thickBot="1">
      <c r="A22" s="50" t="n">
        <v>321</v>
      </c>
      <c r="B22" s="50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-0.13986745</v>
      </c>
      <c r="G22" s="11" t="n">
        <v>0.23294542</v>
      </c>
      <c r="H22" s="11" t="n">
        <v>0.12417806</v>
      </c>
      <c r="I22" s="11" t="n">
        <v>0.01743734</v>
      </c>
      <c r="J22" s="11" t="n">
        <v>-0.1042535</v>
      </c>
      <c r="K22" s="11" t="n">
        <v>0.02865678</v>
      </c>
      <c r="L22" s="11" t="n">
        <v>0.01427321</v>
      </c>
      <c r="M22" s="11" t="n">
        <v>-0.22515861</v>
      </c>
      <c r="N22" s="11" t="n">
        <v>0.75614344</v>
      </c>
      <c r="O22" s="11" t="n">
        <v>-0.06644232999999999</v>
      </c>
      <c r="P22" s="11" t="n">
        <v>0.09063087</v>
      </c>
      <c r="Q22" s="11" t="n">
        <v>0.12727089</v>
      </c>
      <c r="R22" s="11" t="n">
        <v>0.06669828999999999</v>
      </c>
      <c r="S22" s="11" t="n">
        <v>-0.03923414</v>
      </c>
      <c r="T22" s="11" t="n">
        <v>-0.0716519</v>
      </c>
      <c r="U22" s="11" t="n">
        <v>0.05248891</v>
      </c>
      <c r="V22" s="11" t="n">
        <v>-0.1756249</v>
      </c>
      <c r="W22" s="11" t="n">
        <v>0.20748027</v>
      </c>
      <c r="X22" s="11" t="n">
        <v>0.25720235</v>
      </c>
      <c r="Y22" s="11" t="n">
        <v>-0.06985333000000001</v>
      </c>
      <c r="Z22" s="11" t="n">
        <v>0.02386612</v>
      </c>
      <c r="AA22" s="11" t="n">
        <v>0.11812061</v>
      </c>
      <c r="AB22" s="11" t="n">
        <v>0.00386523</v>
      </c>
      <c r="AC22" s="11" t="n">
        <v>-0.17721308</v>
      </c>
      <c r="AD22" s="11" t="n">
        <v>-0.01859375</v>
      </c>
      <c r="AE22" s="11" t="n">
        <v>-0.08514769</v>
      </c>
      <c r="AF22" s="11" t="n">
        <v>0.04718232</v>
      </c>
      <c r="AG22" s="11" t="n">
        <v>-0.04597381</v>
      </c>
      <c r="AH22" s="11" t="n">
        <v>-0.10586596</v>
      </c>
      <c r="AI22" s="11" t="n">
        <v>0.09414126</v>
      </c>
      <c r="AJ22" s="11" t="n">
        <v>-0.03169985</v>
      </c>
      <c r="AK22" s="11" t="n">
        <v>0.10128856</v>
      </c>
      <c r="AL22" s="11" t="n">
        <v>0.04034097</v>
      </c>
      <c r="AM22" s="11" t="n">
        <v>0.08408889999999999</v>
      </c>
      <c r="AN22" s="11" t="n">
        <v>0.11113281</v>
      </c>
      <c r="AO22" s="11" t="n">
        <v>0.07471737000000001</v>
      </c>
      <c r="AP22" s="11" t="n">
        <v>-0.06253635</v>
      </c>
      <c r="AQ22" s="11" t="n">
        <v>0.01449598</v>
      </c>
      <c r="AR22" s="11" t="n">
        <v>0.25053268</v>
      </c>
      <c r="AS22" s="11" t="n">
        <v>0.08281044</v>
      </c>
      <c r="AT22" s="11" t="n">
        <v>0.00658039</v>
      </c>
      <c r="AU22" s="11" t="n">
        <v>0.03350045</v>
      </c>
      <c r="AV22" s="11" t="n">
        <v>-0.05981318</v>
      </c>
      <c r="AW22" s="11" t="n">
        <v>-0.03014939</v>
      </c>
      <c r="AX22" s="11" t="n">
        <v>0.18668161</v>
      </c>
      <c r="AY22" s="11" t="n">
        <v>0.07173338999999999</v>
      </c>
      <c r="AZ22" s="11" t="n">
        <v>-0.15490378</v>
      </c>
      <c r="BA22" s="11" t="n">
        <v>0.04977496</v>
      </c>
      <c r="BB22" s="11" t="n">
        <v>0.36955058</v>
      </c>
      <c r="BC22" s="11" t="n">
        <v>-0.13083694</v>
      </c>
      <c r="BD22" s="11" t="n">
        <v>0.01294739</v>
      </c>
      <c r="BE22" s="11" t="n">
        <v>0.02221618</v>
      </c>
      <c r="BF22" s="11" t="n">
        <v>0.01363882</v>
      </c>
      <c r="BG22" s="11" t="n">
        <v>0.04627951</v>
      </c>
      <c r="BH22" s="11" t="n">
        <v>-0.12796054</v>
      </c>
      <c r="BI22" s="11" t="n">
        <v>0.11108872</v>
      </c>
      <c r="BJ22" s="11" t="n">
        <v>0.05499642</v>
      </c>
      <c r="BK22" s="11" t="n">
        <v>-0.04183964</v>
      </c>
      <c r="BL22" s="11" t="n">
        <v>0.16178034</v>
      </c>
      <c r="BM22" s="11" t="n">
        <v>-0.00243048</v>
      </c>
      <c r="BN22" s="11" t="n">
        <v>-0.01532755</v>
      </c>
      <c r="BO22" s="11" t="n">
        <v>-0.05048443</v>
      </c>
      <c r="BP22" s="11" t="n">
        <v>0.07483555</v>
      </c>
      <c r="BQ22" s="11" t="n">
        <v>0.0278301</v>
      </c>
      <c r="BR22" s="11" t="n">
        <v>0.02081361</v>
      </c>
      <c r="BS22" s="11" t="n">
        <v>-0.00583862</v>
      </c>
      <c r="BT22" s="11" t="n">
        <v>0.1305307</v>
      </c>
      <c r="BU22" s="11" t="n">
        <v>0.21294877</v>
      </c>
      <c r="BV22" s="11" t="n">
        <v>0.15854397</v>
      </c>
      <c r="BW22" s="11" t="n">
        <v>-0.17226666</v>
      </c>
      <c r="BX22" s="11" t="n">
        <v>0.03663745</v>
      </c>
      <c r="BY22" s="11" t="n">
        <v>-0.00474679</v>
      </c>
      <c r="BZ22" s="11" t="n">
        <v>0.04725774</v>
      </c>
      <c r="CA22" s="11" t="n">
        <v>-0.02749008</v>
      </c>
      <c r="CB22" s="11" t="n">
        <v>-0.14899328</v>
      </c>
      <c r="CC22" s="11" t="n">
        <v>-0.125104</v>
      </c>
      <c r="CD22" s="11" t="n">
        <v>0.09551854</v>
      </c>
      <c r="CE22" s="11" t="n">
        <v>0.06684015</v>
      </c>
      <c r="CF22" s="11" t="n">
        <v>-0.15557257</v>
      </c>
      <c r="CG22" s="11" t="n">
        <v>0.44380082</v>
      </c>
      <c r="CH22" s="11" t="n">
        <v>0.11591877</v>
      </c>
      <c r="CI22" s="11" t="n">
        <v>-0.11777975</v>
      </c>
      <c r="CJ22" s="11" t="n">
        <v>-0.10337951</v>
      </c>
      <c r="CK22" s="11" t="n">
        <v>0.03616334</v>
      </c>
      <c r="CL22" s="11" t="n">
        <v>-0.2406518</v>
      </c>
      <c r="CM22" s="11" t="n">
        <v>0.320432</v>
      </c>
      <c r="CN22" s="11" t="n">
        <v>-0.00854677</v>
      </c>
      <c r="CO22" s="11" t="n">
        <v>-0.64995647</v>
      </c>
      <c r="CP22" s="11" t="n">
        <v>0.25940856</v>
      </c>
      <c r="CQ22" s="11" t="n">
        <v>-0.01715962</v>
      </c>
      <c r="CR22" s="11" t="n">
        <v>-0.02842221</v>
      </c>
      <c r="CS22" s="11" t="n">
        <v>0.02443959</v>
      </c>
      <c r="CT22" s="11" t="n">
        <v>0.05823252</v>
      </c>
      <c r="CU22" s="11" t="n">
        <v>-0.11084142</v>
      </c>
      <c r="CV22" s="11" t="n">
        <v>0.1122337</v>
      </c>
      <c r="CW22" s="11" t="n">
        <v>0.03645125</v>
      </c>
      <c r="CX22" s="11" t="n">
        <v>0.00374959</v>
      </c>
      <c r="CY22" s="11" t="n">
        <v>-0.007988830000000001</v>
      </c>
      <c r="CZ22" s="11" t="n">
        <v>0.26292048</v>
      </c>
      <c r="DA22" s="11" t="n">
        <v>-0.00399175</v>
      </c>
      <c r="DB22" s="11" t="n">
        <v>0.05404162</v>
      </c>
      <c r="DC22" s="11" t="n">
        <v>0.07234203</v>
      </c>
      <c r="DD22" s="11" t="n">
        <v>-0.01596258</v>
      </c>
      <c r="DE22" s="11" t="n">
        <v>-0.00549176</v>
      </c>
      <c r="DF22" s="11" t="n">
        <v>0.01703178</v>
      </c>
      <c r="DG22" s="11" t="n">
        <v>0.03198504</v>
      </c>
      <c r="DH22" s="11" t="n">
        <v>0.01394535</v>
      </c>
      <c r="DI22" s="11" t="n">
        <v>0.06356100000000001</v>
      </c>
      <c r="DJ22" s="11" t="n">
        <v>0.04277692</v>
      </c>
      <c r="DK22" s="11" t="n">
        <v>0.17913471</v>
      </c>
      <c r="DL22" s="11" t="n">
        <v>0.12494165</v>
      </c>
      <c r="DM22" s="11" t="n">
        <v>-0.06534676</v>
      </c>
      <c r="DN22" s="11" t="n">
        <v>0.04676333</v>
      </c>
      <c r="DO22" s="11" t="n">
        <v>0.1234375</v>
      </c>
      <c r="DP22" s="11" t="n">
        <v>0.00217232</v>
      </c>
      <c r="DQ22" s="11" t="n">
        <v>-0.0518502</v>
      </c>
      <c r="DR22" s="11" t="n">
        <v>-0.00609255</v>
      </c>
      <c r="DS22" s="11" t="n">
        <v>-0.19705092</v>
      </c>
      <c r="DT22" s="11" t="n">
        <v>-0.04368145</v>
      </c>
      <c r="DU22" s="11" t="n">
        <v>-0.16154691</v>
      </c>
      <c r="DV22" s="11" t="n">
        <v>0.12570512</v>
      </c>
      <c r="DW22" s="11" t="n">
        <v>0.10950307</v>
      </c>
      <c r="DX22" s="11" t="n">
        <v>-0.22244261</v>
      </c>
      <c r="DY22" s="11" t="n">
        <v>0.11995602</v>
      </c>
      <c r="DZ22" s="11" t="n">
        <v>0.1108345</v>
      </c>
      <c r="EA22" s="11" t="n">
        <v>0.14035616</v>
      </c>
      <c r="EB22" s="11" t="n">
        <v>-0.08059673000000001</v>
      </c>
      <c r="EC22" s="11" t="n">
        <v>0.08808545</v>
      </c>
      <c r="ED22" s="11" t="n">
        <v>-0.07741357</v>
      </c>
      <c r="EE22" s="11" t="n">
        <v>0.0334463</v>
      </c>
      <c r="EF22" s="11" t="n">
        <v>-0.03479025</v>
      </c>
    </row>
    <row r="23" ht="16.2" customFormat="1" customHeight="1" s="8" thickBot="1">
      <c r="A23" s="50" t="n">
        <v>482</v>
      </c>
      <c r="B23" s="50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-0.00374023</v>
      </c>
      <c r="G23" s="11" t="n">
        <v>0.36163212</v>
      </c>
      <c r="H23" s="11" t="n">
        <v>-0.01818847</v>
      </c>
      <c r="I23" s="11" t="n">
        <v>-0.03638649</v>
      </c>
      <c r="J23" s="11" t="n">
        <v>-0.11487751</v>
      </c>
      <c r="K23" s="11" t="n">
        <v>-0.05991788</v>
      </c>
      <c r="L23" s="11" t="n">
        <v>0.05077083</v>
      </c>
      <c r="M23" s="11" t="n">
        <v>-0.26256935</v>
      </c>
      <c r="N23" s="11" t="n">
        <v>0.97590144</v>
      </c>
      <c r="O23" s="11" t="n">
        <v>-0.12289971</v>
      </c>
      <c r="P23" s="11" t="n">
        <v>0.05468153</v>
      </c>
      <c r="Q23" s="11" t="n">
        <v>0.29117349</v>
      </c>
      <c r="R23" s="11" t="n">
        <v>0.06282198</v>
      </c>
      <c r="S23" s="11" t="n">
        <v>-0.07257266</v>
      </c>
      <c r="T23" s="11" t="n">
        <v>-0.00037337</v>
      </c>
      <c r="U23" s="11" t="n">
        <v>0.05924179</v>
      </c>
      <c r="V23" s="11" t="n">
        <v>-0.2324772</v>
      </c>
      <c r="W23" s="11" t="n">
        <v>0.33161915</v>
      </c>
      <c r="X23" s="11" t="n">
        <v>0.19455646</v>
      </c>
      <c r="Y23" s="11" t="n">
        <v>-0.06794992</v>
      </c>
      <c r="Z23" s="11" t="n">
        <v>0.04105197</v>
      </c>
      <c r="AA23" s="11" t="n">
        <v>0.15164933</v>
      </c>
      <c r="AB23" s="11" t="n">
        <v>0.03099139</v>
      </c>
      <c r="AC23" s="11" t="n">
        <v>-0.23400862</v>
      </c>
      <c r="AD23" s="11" t="n">
        <v>-0.00299529</v>
      </c>
      <c r="AE23" s="11" t="n">
        <v>-0.22171324</v>
      </c>
      <c r="AF23" s="11" t="n">
        <v>0.06690626</v>
      </c>
      <c r="AG23" s="11" t="n">
        <v>-0.00205768</v>
      </c>
      <c r="AH23" s="11" t="n">
        <v>-0.08417158</v>
      </c>
      <c r="AI23" s="11" t="n">
        <v>0.01720592</v>
      </c>
      <c r="AJ23" s="11" t="n">
        <v>0.00564314</v>
      </c>
      <c r="AK23" s="11" t="n">
        <v>0.1141111</v>
      </c>
      <c r="AL23" s="11" t="n">
        <v>0.13143171</v>
      </c>
      <c r="AM23" s="11" t="n">
        <v>0.00776949</v>
      </c>
      <c r="AN23" s="11" t="n">
        <v>0.2423147</v>
      </c>
      <c r="AO23" s="11" t="n">
        <v>-0.00533695</v>
      </c>
      <c r="AP23" s="11" t="n">
        <v>0.0031211</v>
      </c>
      <c r="AQ23" s="11" t="n">
        <v>0.08942499</v>
      </c>
      <c r="AR23" s="11" t="n">
        <v>0.33674404</v>
      </c>
      <c r="AS23" s="11" t="n">
        <v>-0.01470689</v>
      </c>
      <c r="AT23" s="11" t="n">
        <v>-0.04142772</v>
      </c>
      <c r="AU23" s="11" t="n">
        <v>0.03314553</v>
      </c>
      <c r="AV23" s="11" t="n">
        <v>-0.02763899</v>
      </c>
      <c r="AW23" s="11" t="n">
        <v>-0.05202691</v>
      </c>
      <c r="AX23" s="11" t="n">
        <v>0.06983815</v>
      </c>
      <c r="AY23" s="11" t="n">
        <v>0.17023398</v>
      </c>
      <c r="AZ23" s="11" t="n">
        <v>-0.06375362</v>
      </c>
      <c r="BA23" s="11" t="n">
        <v>0.05399834</v>
      </c>
      <c r="BB23" s="11" t="n">
        <v>0.5668265300000001</v>
      </c>
      <c r="BC23" s="11" t="n">
        <v>-0.30082825</v>
      </c>
      <c r="BD23" s="11" t="n">
        <v>0.09483088000000001</v>
      </c>
      <c r="BE23" s="11" t="n">
        <v>-0.07143076</v>
      </c>
      <c r="BF23" s="11" t="n">
        <v>-0.02284699</v>
      </c>
      <c r="BG23" s="11" t="n">
        <v>0.07476147</v>
      </c>
      <c r="BH23" s="11" t="n">
        <v>-0.20348398</v>
      </c>
      <c r="BI23" s="11" t="n">
        <v>0.19111208</v>
      </c>
      <c r="BJ23" s="11" t="n">
        <v>0.10400332</v>
      </c>
      <c r="BK23" s="11" t="n">
        <v>0.00203411</v>
      </c>
      <c r="BL23" s="11" t="n">
        <v>0.1495343</v>
      </c>
      <c r="BM23" s="11" t="n">
        <v>0.06949546</v>
      </c>
      <c r="BN23" s="11" t="n">
        <v>-0.00694717</v>
      </c>
      <c r="BO23" s="11" t="n">
        <v>-0.16631017</v>
      </c>
      <c r="BP23" s="11" t="n">
        <v>0.0982664</v>
      </c>
      <c r="BQ23" s="11" t="n">
        <v>0.04961184</v>
      </c>
      <c r="BR23" s="11" t="n">
        <v>0.01784432</v>
      </c>
      <c r="BS23" s="11" t="n">
        <v>-0.07327539</v>
      </c>
      <c r="BT23" s="11" t="n">
        <v>0.14364981</v>
      </c>
      <c r="BU23" s="11" t="n">
        <v>0.20568774</v>
      </c>
      <c r="BV23" s="11" t="n">
        <v>0.11346757</v>
      </c>
      <c r="BW23" s="11" t="n">
        <v>-0.20215233</v>
      </c>
      <c r="BX23" s="11" t="n">
        <v>-0.008213120000000001</v>
      </c>
      <c r="BY23" s="11" t="n">
        <v>-0.01020569</v>
      </c>
      <c r="BZ23" s="11" t="n">
        <v>0.00766976</v>
      </c>
      <c r="CA23" s="11" t="n">
        <v>-0.0756532</v>
      </c>
      <c r="CB23" s="11" t="n">
        <v>-0.2176142</v>
      </c>
      <c r="CC23" s="11" t="n">
        <v>-0.08454461000000001</v>
      </c>
      <c r="CD23" s="11" t="n">
        <v>0.14124194</v>
      </c>
      <c r="CE23" s="11" t="n">
        <v>0.0596023</v>
      </c>
      <c r="CF23" s="11" t="n">
        <v>-0.18343324</v>
      </c>
      <c r="CG23" s="11" t="n">
        <v>0.29290394</v>
      </c>
      <c r="CH23" s="11" t="n">
        <v>0.18019645</v>
      </c>
      <c r="CI23" s="11" t="n">
        <v>-0.30989942</v>
      </c>
      <c r="CJ23" s="11" t="n">
        <v>-0.01987537</v>
      </c>
      <c r="CK23" s="11" t="n">
        <v>0.09611699</v>
      </c>
      <c r="CL23" s="11" t="n">
        <v>-0.40866101</v>
      </c>
      <c r="CM23" s="11" t="n">
        <v>0.38673295</v>
      </c>
      <c r="CN23" s="11" t="n">
        <v>-0.05300518</v>
      </c>
      <c r="CO23" s="11" t="n">
        <v>-0.9089232900000001</v>
      </c>
      <c r="CP23" s="11" t="n">
        <v>0.31136074</v>
      </c>
      <c r="CQ23" s="11" t="n">
        <v>0.02470227</v>
      </c>
      <c r="CR23" s="11" t="n">
        <v>-0.03823284</v>
      </c>
      <c r="CS23" s="11" t="n">
        <v>0.06901537000000001</v>
      </c>
      <c r="CT23" s="11" t="n">
        <v>0.04566254</v>
      </c>
      <c r="CU23" s="11" t="n">
        <v>-0.0210566</v>
      </c>
      <c r="CV23" s="11" t="n">
        <v>-0.02224514</v>
      </c>
      <c r="CW23" s="11" t="n">
        <v>0.10090133</v>
      </c>
      <c r="CX23" s="11" t="n">
        <v>-0.08871699</v>
      </c>
      <c r="CY23" s="11" t="n">
        <v>0.02204653</v>
      </c>
      <c r="CZ23" s="11" t="n">
        <v>0.18199879</v>
      </c>
      <c r="DA23" s="11" t="n">
        <v>-0.03098214</v>
      </c>
      <c r="DB23" s="11" t="n">
        <v>0.01874707</v>
      </c>
      <c r="DC23" s="11" t="n">
        <v>0.07241603000000001</v>
      </c>
      <c r="DD23" s="11" t="n">
        <v>-0.01840783</v>
      </c>
      <c r="DE23" s="11" t="n">
        <v>-0.009395229999999999</v>
      </c>
      <c r="DF23" s="11" t="n">
        <v>0.06194213</v>
      </c>
      <c r="DG23" s="11" t="n">
        <v>0.03827001</v>
      </c>
      <c r="DH23" s="11" t="n">
        <v>0.05541345</v>
      </c>
      <c r="DI23" s="11" t="n">
        <v>0.0534796</v>
      </c>
      <c r="DJ23" s="11" t="n">
        <v>-0.03382458</v>
      </c>
      <c r="DK23" s="11" t="n">
        <v>0.27783322</v>
      </c>
      <c r="DL23" s="11" t="n">
        <v>0.21610106</v>
      </c>
      <c r="DM23" s="11" t="n">
        <v>-0.0194973</v>
      </c>
      <c r="DN23" s="11" t="n">
        <v>0.0064972</v>
      </c>
      <c r="DO23" s="11" t="n">
        <v>0.1640913</v>
      </c>
      <c r="DP23" s="11" t="n">
        <v>0.04708823</v>
      </c>
      <c r="DQ23" s="11" t="n">
        <v>-0.12113204</v>
      </c>
      <c r="DR23" s="11" t="n">
        <v>-0.08988599999999999</v>
      </c>
      <c r="DS23" s="11" t="n">
        <v>-0.27831507</v>
      </c>
      <c r="DT23" s="11" t="n">
        <v>-0.05425046</v>
      </c>
      <c r="DU23" s="11" t="n">
        <v>-0.05563948</v>
      </c>
      <c r="DV23" s="11" t="n">
        <v>0.27627161</v>
      </c>
      <c r="DW23" s="11" t="n">
        <v>0.14122823</v>
      </c>
      <c r="DX23" s="11" t="n">
        <v>-0.31349321</v>
      </c>
      <c r="DY23" s="11" t="n">
        <v>-0.05392622</v>
      </c>
      <c r="DZ23" s="11" t="n">
        <v>-0.21717399</v>
      </c>
      <c r="EA23" s="11" t="n">
        <v>-0.02875878</v>
      </c>
      <c r="EB23" s="11" t="n">
        <v>-0.06275343999999999</v>
      </c>
      <c r="EC23" s="11" t="n">
        <v>0.09364453</v>
      </c>
      <c r="ED23" s="11" t="n">
        <v>-0.0914259</v>
      </c>
      <c r="EE23" s="11" t="n">
        <v>0.05905068</v>
      </c>
      <c r="EF23" s="11" t="n">
        <v>-0.04778228</v>
      </c>
    </row>
    <row r="24" ht="16.2" customFormat="1" customHeight="1" s="8" thickBot="1">
      <c r="A24" s="50" t="n">
        <v>964</v>
      </c>
      <c r="B24" s="50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0.07532649</v>
      </c>
      <c r="G24" s="11" t="n">
        <v>0.22960705</v>
      </c>
      <c r="H24" s="11" t="n">
        <v>0.0358558</v>
      </c>
      <c r="I24" s="11" t="n">
        <v>0.01692709</v>
      </c>
      <c r="J24" s="11" t="n">
        <v>-0.1154628</v>
      </c>
      <c r="K24" s="11" t="n">
        <v>0.053733</v>
      </c>
      <c r="L24" s="11" t="n">
        <v>0.09379969000000001</v>
      </c>
      <c r="M24" s="11" t="n">
        <v>-0.46302754</v>
      </c>
      <c r="N24" s="11" t="n">
        <v>1.76903137</v>
      </c>
      <c r="O24" s="11" t="n">
        <v>-0.24427786</v>
      </c>
      <c r="P24" s="11" t="n">
        <v>0.00173629</v>
      </c>
      <c r="Q24" s="11" t="n">
        <v>-0.00284714</v>
      </c>
      <c r="R24" s="11" t="n">
        <v>-0.02782282</v>
      </c>
      <c r="S24" s="11" t="n">
        <v>-0.01105446</v>
      </c>
      <c r="T24" s="11" t="n">
        <v>0.12369104</v>
      </c>
      <c r="U24" s="11" t="n">
        <v>0.28585629</v>
      </c>
      <c r="V24" s="11" t="n">
        <v>-0.09867851</v>
      </c>
      <c r="W24" s="11" t="n">
        <v>0.49571199</v>
      </c>
      <c r="X24" s="11" t="n">
        <v>-0.00089888</v>
      </c>
      <c r="Y24" s="11" t="n">
        <v>-0.12031749</v>
      </c>
      <c r="Z24" s="11" t="n">
        <v>-0.02439455</v>
      </c>
      <c r="AA24" s="11" t="n">
        <v>0.09435958</v>
      </c>
      <c r="AB24" s="11" t="n">
        <v>0.30039379</v>
      </c>
      <c r="AC24" s="11" t="n">
        <v>-0.24616896</v>
      </c>
      <c r="AD24" s="11" t="n">
        <v>-0.05992215</v>
      </c>
      <c r="AE24" s="11" t="n">
        <v>-0.17526882</v>
      </c>
      <c r="AF24" s="11" t="n">
        <v>0.02252201</v>
      </c>
      <c r="AG24" s="11" t="n">
        <v>0.10590047</v>
      </c>
      <c r="AH24" s="11" t="n">
        <v>-0.05669736</v>
      </c>
      <c r="AI24" s="11" t="n">
        <v>-0.00880833</v>
      </c>
      <c r="AJ24" s="11" t="n">
        <v>-0.08089124</v>
      </c>
      <c r="AK24" s="11" t="n">
        <v>0.08488395</v>
      </c>
      <c r="AL24" s="11" t="n">
        <v>-0.05467694</v>
      </c>
      <c r="AM24" s="11" t="n">
        <v>-0.01891928</v>
      </c>
      <c r="AN24" s="11" t="n">
        <v>0.22118947</v>
      </c>
      <c r="AO24" s="11" t="n">
        <v>0.06609010999999999</v>
      </c>
      <c r="AP24" s="11" t="n">
        <v>-0.02285172</v>
      </c>
      <c r="AQ24" s="11" t="n">
        <v>0.04707697</v>
      </c>
      <c r="AR24" s="11" t="n">
        <v>0.00963926</v>
      </c>
      <c r="AS24" s="11" t="n">
        <v>-0.02795608</v>
      </c>
      <c r="AT24" s="11" t="n">
        <v>0.03045921</v>
      </c>
      <c r="AU24" s="11" t="n">
        <v>0.04409532</v>
      </c>
      <c r="AV24" s="11" t="n">
        <v>-0.08715195000000001</v>
      </c>
      <c r="AW24" s="11" t="n">
        <v>0.00498754</v>
      </c>
      <c r="AX24" s="11" t="n">
        <v>0.02830619</v>
      </c>
      <c r="AY24" s="11" t="n">
        <v>0.16812729</v>
      </c>
      <c r="AZ24" s="11" t="n">
        <v>0.03786707</v>
      </c>
      <c r="BA24" s="11" t="n">
        <v>0.05049131</v>
      </c>
      <c r="BB24" s="11" t="n">
        <v>0.6907765300000001</v>
      </c>
      <c r="BC24" s="11" t="n">
        <v>-0.59942164</v>
      </c>
      <c r="BD24" s="11" t="n">
        <v>0.18559522</v>
      </c>
      <c r="BE24" s="11" t="n">
        <v>-0.04606435</v>
      </c>
      <c r="BF24" s="11" t="n">
        <v>0.08765133999999999</v>
      </c>
      <c r="BG24" s="11" t="n">
        <v>0.02683597</v>
      </c>
      <c r="BH24" s="11" t="n">
        <v>-0.38625534</v>
      </c>
      <c r="BI24" s="11" t="n">
        <v>0.22362911</v>
      </c>
      <c r="BJ24" s="11" t="n">
        <v>0.00334832</v>
      </c>
      <c r="BK24" s="11" t="n">
        <v>0.00402355</v>
      </c>
      <c r="BL24" s="11" t="n">
        <v>0.31716429</v>
      </c>
      <c r="BM24" s="11" t="n">
        <v>-0.08478294</v>
      </c>
      <c r="BN24" s="11" t="n">
        <v>0.00684934</v>
      </c>
      <c r="BO24" s="11" t="n">
        <v>-0.16110969</v>
      </c>
      <c r="BP24" s="11" t="n">
        <v>0.12335118</v>
      </c>
      <c r="BQ24" s="11" t="n">
        <v>-0.06416963000000001</v>
      </c>
      <c r="BR24" s="11" t="n">
        <v>0.04235622</v>
      </c>
      <c r="BS24" s="11" t="n">
        <v>-0.00128472</v>
      </c>
      <c r="BT24" s="11" t="n">
        <v>0.1162707</v>
      </c>
      <c r="BU24" s="11" t="n">
        <v>0.22832663</v>
      </c>
      <c r="BV24" s="11" t="n">
        <v>0.10772845</v>
      </c>
      <c r="BW24" s="11" t="n">
        <v>-0.06183588</v>
      </c>
      <c r="BX24" s="11" t="n">
        <v>-0.13296006</v>
      </c>
      <c r="BY24" s="11" t="n">
        <v>0.10974567</v>
      </c>
      <c r="BZ24" s="11" t="n">
        <v>0.2588929</v>
      </c>
      <c r="CA24" s="11" t="n">
        <v>-0.11522168</v>
      </c>
      <c r="CB24" s="11" t="n">
        <v>0.20876197</v>
      </c>
      <c r="CC24" s="11" t="n">
        <v>-0.18246988</v>
      </c>
      <c r="CD24" s="11" t="n">
        <v>0.02995353</v>
      </c>
      <c r="CE24" s="11" t="n">
        <v>0.16556487</v>
      </c>
      <c r="CF24" s="11" t="n">
        <v>-0.16513135</v>
      </c>
      <c r="CG24" s="11" t="n">
        <v>0.23727783</v>
      </c>
      <c r="CH24" s="11" t="n">
        <v>0.3542773</v>
      </c>
      <c r="CI24" s="11" t="n">
        <v>0.32845182</v>
      </c>
      <c r="CJ24" s="11" t="n">
        <v>0.01310949</v>
      </c>
      <c r="CK24" s="11" t="n">
        <v>0.09353008</v>
      </c>
      <c r="CL24" s="11" t="n">
        <v>0.14175533</v>
      </c>
      <c r="CM24" s="11" t="n">
        <v>0.54958711</v>
      </c>
      <c r="CN24" s="11" t="n">
        <v>-0.10773877</v>
      </c>
      <c r="CO24" s="11" t="n">
        <v>-0.77665322</v>
      </c>
      <c r="CP24" s="11" t="n">
        <v>0.1603442</v>
      </c>
      <c r="CQ24" s="11" t="n">
        <v>0.16018965</v>
      </c>
      <c r="CR24" s="11" t="n">
        <v>-0.09681790999999999</v>
      </c>
      <c r="CS24" s="11" t="n">
        <v>-0.02685492</v>
      </c>
      <c r="CT24" s="11" t="n">
        <v>0.09641901</v>
      </c>
      <c r="CU24" s="11" t="n">
        <v>-0.07275135000000001</v>
      </c>
      <c r="CV24" s="11" t="n">
        <v>0.01506405</v>
      </c>
      <c r="CW24" s="11" t="n">
        <v>0.17511717</v>
      </c>
      <c r="CX24" s="11" t="n">
        <v>0.05520719</v>
      </c>
      <c r="CY24" s="11" t="n">
        <v>-0.0800669</v>
      </c>
      <c r="CZ24" s="11" t="n">
        <v>0.11220663</v>
      </c>
      <c r="DA24" s="11" t="n">
        <v>0.0245112</v>
      </c>
      <c r="DB24" s="11" t="n">
        <v>-0.01650187</v>
      </c>
      <c r="DC24" s="11" t="n">
        <v>0.17955312</v>
      </c>
      <c r="DD24" s="11" t="n">
        <v>-0.00236687</v>
      </c>
      <c r="DE24" s="11" t="n">
        <v>-0.17606276</v>
      </c>
      <c r="DF24" s="11" t="n">
        <v>-0.10466498</v>
      </c>
      <c r="DG24" s="11" t="n">
        <v>0.05910583</v>
      </c>
      <c r="DH24" s="11" t="n">
        <v>0.09936697999999999</v>
      </c>
      <c r="DI24" s="11" t="n">
        <v>0.14187546</v>
      </c>
      <c r="DJ24" s="11" t="n">
        <v>0.02108147</v>
      </c>
      <c r="DK24" s="11" t="n">
        <v>0.33950921</v>
      </c>
      <c r="DL24" s="11" t="n">
        <v>0.21310443</v>
      </c>
      <c r="DM24" s="11" t="n">
        <v>-0.14143953</v>
      </c>
      <c r="DN24" s="11" t="n">
        <v>0.23333457</v>
      </c>
      <c r="DO24" s="11" t="n">
        <v>0.1854408</v>
      </c>
      <c r="DP24" s="11" t="n">
        <v>0.11437343</v>
      </c>
      <c r="DQ24" s="11" t="n">
        <v>-0.05048619</v>
      </c>
      <c r="DR24" s="11" t="n">
        <v>-0.02051563</v>
      </c>
      <c r="DS24" s="11" t="n">
        <v>-0.21626154</v>
      </c>
      <c r="DT24" s="11" t="n">
        <v>-0.07473335</v>
      </c>
      <c r="DU24" s="11" t="n">
        <v>0.0217814</v>
      </c>
      <c r="DV24" s="11" t="n">
        <v>0.1582247</v>
      </c>
      <c r="DW24" s="11" t="n">
        <v>0.10885709</v>
      </c>
      <c r="DX24" s="11" t="n">
        <v>-0.31159313</v>
      </c>
      <c r="DY24" s="11" t="n">
        <v>-0.00323988</v>
      </c>
      <c r="DZ24" s="11" t="n">
        <v>-0.43350658</v>
      </c>
      <c r="EA24" s="11" t="n">
        <v>-0.05492018</v>
      </c>
      <c r="EB24" s="11" t="n">
        <v>-0.02958218</v>
      </c>
      <c r="EC24" s="11" t="n">
        <v>0.14364347</v>
      </c>
      <c r="ED24" s="11" t="n">
        <v>-0.05617285</v>
      </c>
      <c r="EE24" s="11" t="n">
        <v>0.11342944</v>
      </c>
      <c r="EF24" s="11" t="n">
        <v>0.06727668000000001</v>
      </c>
    </row>
    <row r="25" ht="16.2" customHeight="1" s="54" thickBot="1"/>
    <row r="26" ht="17.7" customHeight="1" s="54" thickBot="1">
      <c r="A26" s="13" t="inlineStr">
        <is>
          <t>大盤</t>
        </is>
      </c>
      <c r="B26" s="50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6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I26"/>
  <sheetViews>
    <sheetView topLeftCell="DW1" workbookViewId="0">
      <selection activeCell="EJ18" sqref="EJ18"/>
    </sheetView>
  </sheetViews>
  <sheetFormatPr baseColWidth="8" defaultColWidth="8.88671875" defaultRowHeight="15.6"/>
  <cols>
    <col width="8.88671875" customWidth="1" style="4" min="1" max="2"/>
    <col width="8.88671875" customWidth="1" style="4" min="3" max="16384"/>
  </cols>
  <sheetData>
    <row r="1" ht="16.2" customHeight="1" s="54" thickBot="1">
      <c r="A1" s="2" t="inlineStr">
        <is>
          <t>OLS</t>
        </is>
      </c>
      <c r="B1" s="3" t="n"/>
    </row>
    <row r="2" ht="16.2" customHeight="1" s="54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2" customHeight="1" s="54" thickBot="1">
      <c r="A3" s="5" t="n"/>
      <c r="B3" s="1" t="inlineStr">
        <is>
          <t>bm</t>
        </is>
      </c>
      <c r="C3" s="10" t="n">
        <v>0.036997</v>
      </c>
      <c r="D3" s="10" t="n">
        <v>0.033298</v>
      </c>
      <c r="E3" s="10" t="n">
        <v>0.015422</v>
      </c>
      <c r="F3" s="10" t="n">
        <v>0.016457</v>
      </c>
      <c r="G3" s="10" t="n">
        <v>0.017226</v>
      </c>
      <c r="H3" s="10" t="n">
        <v>0.028764</v>
      </c>
      <c r="I3" s="10" t="n">
        <v>0.024279</v>
      </c>
      <c r="J3" s="10" t="n">
        <v>0.027316</v>
      </c>
      <c r="K3" s="10" t="n">
        <v>0.030174</v>
      </c>
      <c r="L3" s="10" t="n">
        <v>0.025236</v>
      </c>
      <c r="M3" s="10" t="n">
        <v>0.032729</v>
      </c>
      <c r="N3" s="10" t="n">
        <v>0.031555</v>
      </c>
      <c r="O3" s="10" t="n">
        <v>0.034033</v>
      </c>
      <c r="P3" s="10" t="n">
        <v>0.033213</v>
      </c>
      <c r="Q3" s="10" t="n">
        <v>0.029103</v>
      </c>
      <c r="R3" s="10" t="n">
        <v>0.026474</v>
      </c>
      <c r="S3" s="10" t="n">
        <v>0.028295</v>
      </c>
      <c r="T3" s="10" t="n">
        <v>0.022621</v>
      </c>
      <c r="U3" s="10" t="n">
        <v>0.016144</v>
      </c>
      <c r="V3" s="10" t="n">
        <v>0.025033</v>
      </c>
      <c r="W3" s="10" t="n">
        <v>0.045784</v>
      </c>
      <c r="X3" s="10" t="n">
        <v>0.043058</v>
      </c>
      <c r="Y3" s="10" t="n">
        <v>0.037786</v>
      </c>
      <c r="Z3" s="10" t="n">
        <v>0.024097</v>
      </c>
      <c r="AA3" s="10" t="n">
        <v>0.030094</v>
      </c>
      <c r="AB3" s="10" t="n">
        <v>0.028087</v>
      </c>
      <c r="AC3" s="10" t="n">
        <v>0.033771</v>
      </c>
      <c r="AD3" s="10" t="n">
        <v>0.034132</v>
      </c>
      <c r="AE3" s="10" t="n">
        <v>0.034141</v>
      </c>
      <c r="AF3" s="10" t="n">
        <v>0.013118</v>
      </c>
      <c r="AG3" s="10" t="n">
        <v>0.024857</v>
      </c>
      <c r="AH3" s="10" t="n">
        <v>0.031884</v>
      </c>
      <c r="AI3" s="10" t="n">
        <v>0.036386</v>
      </c>
      <c r="AJ3" s="10" t="n">
        <v>0.035949</v>
      </c>
      <c r="AK3" s="10" t="n">
        <v>0.043483</v>
      </c>
      <c r="AL3" s="10" t="n">
        <v>0.038462</v>
      </c>
      <c r="AM3" s="10" t="n">
        <v>0.03941</v>
      </c>
      <c r="AN3" s="10" t="n">
        <v>0.050744</v>
      </c>
      <c r="AO3" s="10" t="n">
        <v>0.053685</v>
      </c>
      <c r="AP3" s="10" t="n">
        <v>0.049315</v>
      </c>
      <c r="AQ3" s="10" t="n">
        <v>0.032774</v>
      </c>
      <c r="AR3" s="10" t="n">
        <v>0.028295</v>
      </c>
      <c r="AS3" s="10" t="n">
        <v>0.028378</v>
      </c>
      <c r="AT3" s="10" t="n">
        <v>0.023069</v>
      </c>
      <c r="AU3" s="10" t="n">
        <v>0.029397</v>
      </c>
      <c r="AV3" s="10" t="n">
        <v>0.031038</v>
      </c>
      <c r="AW3" s="10" t="n">
        <v>0.026298</v>
      </c>
      <c r="AX3" s="10" t="n">
        <v>0.026165</v>
      </c>
      <c r="AY3" s="10" t="n">
        <v>0.032054</v>
      </c>
      <c r="AZ3" s="10" t="n">
        <v>0.034478</v>
      </c>
      <c r="BA3" s="10" t="n">
        <v>0.029332</v>
      </c>
      <c r="BB3" s="10" t="n">
        <v>0.034325</v>
      </c>
      <c r="BC3" s="10" t="n">
        <v>0.037422</v>
      </c>
      <c r="BD3" s="10" t="n">
        <v>0.031414</v>
      </c>
      <c r="BE3" s="10" t="n">
        <v>0.032006</v>
      </c>
      <c r="BF3" s="10" t="n">
        <v>0.028282</v>
      </c>
      <c r="BG3" s="10" t="n">
        <v>0.041103</v>
      </c>
      <c r="BH3" s="10" t="n">
        <v>0.045199</v>
      </c>
      <c r="BI3" s="10" t="n">
        <v>0.041588</v>
      </c>
      <c r="BJ3" s="10" t="n">
        <v>0.040723</v>
      </c>
      <c r="BK3" s="10" t="n">
        <v>0.036328</v>
      </c>
      <c r="BL3" s="10" t="n">
        <v>0.036173</v>
      </c>
      <c r="BM3" s="10" t="n">
        <v>0.037709</v>
      </c>
      <c r="BN3" s="10" t="n">
        <v>0.030814</v>
      </c>
      <c r="BO3" s="10" t="n">
        <v>0.030656</v>
      </c>
      <c r="BP3" s="10" t="n">
        <v>0.0344</v>
      </c>
      <c r="BQ3" s="10" t="n">
        <v>0.034869</v>
      </c>
      <c r="BR3" s="10" t="n">
        <v>0.036324</v>
      </c>
      <c r="BS3" s="10" t="n">
        <v>0.036164</v>
      </c>
      <c r="BT3" s="10" t="n">
        <v>0.038669</v>
      </c>
      <c r="BU3" s="10" t="n">
        <v>0.041103</v>
      </c>
      <c r="BV3" s="10" t="n">
        <v>0.028684</v>
      </c>
      <c r="BW3" s="10" t="n">
        <v>0.035217</v>
      </c>
      <c r="BX3" s="10" t="n">
        <v>0.040767</v>
      </c>
      <c r="BY3" s="10" t="n">
        <v>0.021604</v>
      </c>
      <c r="BZ3" s="10" t="n">
        <v>0.030434</v>
      </c>
      <c r="CA3" s="10" t="n">
        <v>0.037312</v>
      </c>
      <c r="CB3" s="10" t="n">
        <v>0.027612</v>
      </c>
      <c r="CC3" s="10" t="n">
        <v>0.019743</v>
      </c>
      <c r="CD3" s="10" t="n">
        <v>0.007791</v>
      </c>
      <c r="CE3" s="10" t="n">
        <v>0.022527</v>
      </c>
      <c r="CF3" s="10" t="n">
        <v>0.034778</v>
      </c>
      <c r="CG3" s="10" t="n">
        <v>0.032581</v>
      </c>
      <c r="CH3" s="10" t="n">
        <v>0.040909</v>
      </c>
      <c r="CI3" s="10" t="n">
        <v>0.03905</v>
      </c>
      <c r="CJ3" s="10" t="n">
        <v>0.024562</v>
      </c>
      <c r="CK3" s="10" t="n">
        <v>0.034134</v>
      </c>
      <c r="CL3" s="10" t="n">
        <v>0.035926</v>
      </c>
      <c r="CM3" s="10" t="n">
        <v>0.042466</v>
      </c>
      <c r="CN3" s="10" t="n">
        <v>0.036524</v>
      </c>
      <c r="CO3" s="10" t="n">
        <v>0.037659</v>
      </c>
      <c r="CP3" s="10" t="n">
        <v>0.039958</v>
      </c>
      <c r="CQ3" s="10" t="n">
        <v>-0.004592</v>
      </c>
      <c r="CR3" s="10" t="n">
        <v>0.015003</v>
      </c>
      <c r="CS3" s="10" t="n">
        <v>0.022459</v>
      </c>
      <c r="CT3" s="10" t="n">
        <v>0.040972</v>
      </c>
      <c r="CU3" s="10" t="n">
        <v>0.038942</v>
      </c>
      <c r="CV3" s="10" t="n">
        <v>0.043015</v>
      </c>
      <c r="CW3" s="10" t="n">
        <v>0.039707</v>
      </c>
      <c r="CX3" s="10" t="n">
        <v>0.039171</v>
      </c>
      <c r="CY3" s="10" t="n">
        <v>0.034941</v>
      </c>
      <c r="CZ3" s="10" t="n">
        <v>0.036027</v>
      </c>
      <c r="DA3" s="10" t="n">
        <v>0.04451</v>
      </c>
      <c r="DB3" s="10" t="n">
        <v>0.039323</v>
      </c>
      <c r="DC3" s="10" t="n">
        <v>0.037933</v>
      </c>
      <c r="DD3" s="10" t="n">
        <v>0.039075</v>
      </c>
      <c r="DE3" s="10" t="n">
        <v>0.041994</v>
      </c>
      <c r="DF3" s="10" t="n">
        <v>0.041965</v>
      </c>
      <c r="DG3" s="10" t="n">
        <v>0.040382</v>
      </c>
      <c r="DH3" s="10" t="n">
        <v>0.036787</v>
      </c>
      <c r="DI3" s="10" t="n">
        <v>0.036878</v>
      </c>
      <c r="DJ3" s="10" t="n">
        <v>0.033682</v>
      </c>
      <c r="DK3" s="10" t="n">
        <v>0.036536</v>
      </c>
      <c r="DL3" s="10" t="n">
        <v>0.031531</v>
      </c>
      <c r="DM3" s="10" t="n">
        <v>0.028662</v>
      </c>
      <c r="DN3" s="10" t="n">
        <v>0.030845</v>
      </c>
      <c r="DO3" s="10" t="n">
        <v>0.033675</v>
      </c>
      <c r="DP3" s="10" t="n">
        <v>0.035102</v>
      </c>
      <c r="DQ3" s="10" t="n">
        <v>0.036708</v>
      </c>
      <c r="DR3" s="10" t="n">
        <v>0.034114</v>
      </c>
      <c r="DS3" s="10" t="n">
        <v>0.036716</v>
      </c>
      <c r="DT3" s="10" t="n">
        <v>0.034828</v>
      </c>
      <c r="DU3" s="10" t="n">
        <v>0.023366</v>
      </c>
      <c r="DV3" s="10" t="n">
        <v>0.025241</v>
      </c>
      <c r="DW3" s="10" t="n">
        <v>0.035159</v>
      </c>
      <c r="DX3" s="10" t="n">
        <v>0.032305</v>
      </c>
      <c r="DY3" s="10" t="n">
        <v>0.023258</v>
      </c>
      <c r="DZ3" s="10" t="n">
        <v>0.028309</v>
      </c>
      <c r="EA3" s="10" t="n">
        <v>0.031397</v>
      </c>
      <c r="EB3" s="10" t="n">
        <v>0.037231</v>
      </c>
      <c r="EC3" s="10" t="n">
        <v>0.033346</v>
      </c>
      <c r="ED3" s="10" t="n">
        <v>0.034187</v>
      </c>
      <c r="EE3" s="10" t="n">
        <v>0.025041</v>
      </c>
      <c r="EF3" s="10" t="n">
        <v>0.034121</v>
      </c>
    </row>
    <row r="4" ht="16.2" customHeight="1" s="54" thickBot="1">
      <c r="A4" s="5" t="n"/>
      <c r="B4" s="1" t="inlineStr">
        <is>
          <t>size</t>
        </is>
      </c>
      <c r="C4" s="10" t="n">
        <v>-0.04966</v>
      </c>
      <c r="D4" s="10" t="n">
        <v>-0.064453</v>
      </c>
      <c r="E4" s="10" t="n">
        <v>-0.095805</v>
      </c>
      <c r="F4" s="10" t="n">
        <v>-0.076694</v>
      </c>
      <c r="G4" s="10" t="n">
        <v>-0.026515</v>
      </c>
      <c r="H4" s="10" t="n">
        <v>-0.034152</v>
      </c>
      <c r="I4" s="10" t="n">
        <v>-0.046191</v>
      </c>
      <c r="J4" s="10" t="n">
        <v>-0.046178</v>
      </c>
      <c r="K4" s="10" t="n">
        <v>-0.045932</v>
      </c>
      <c r="L4" s="10" t="n">
        <v>-0.040812</v>
      </c>
      <c r="M4" s="10" t="n">
        <v>-0.018734</v>
      </c>
      <c r="N4" s="10" t="n">
        <v>-0.035831</v>
      </c>
      <c r="O4" s="10" t="n">
        <v>-0.057023</v>
      </c>
      <c r="P4" s="10" t="n">
        <v>-0.042463</v>
      </c>
      <c r="Q4" s="10" t="n">
        <v>-0.037772</v>
      </c>
      <c r="R4" s="10" t="n">
        <v>-0.028628</v>
      </c>
      <c r="S4" s="10" t="n">
        <v>-0.030998</v>
      </c>
      <c r="T4" s="10" t="n">
        <v>-0.006704</v>
      </c>
      <c r="U4" s="10" t="n">
        <v>-0.037957</v>
      </c>
      <c r="V4" s="10" t="n">
        <v>-0.029502</v>
      </c>
      <c r="W4" s="10" t="n">
        <v>-0.041243</v>
      </c>
      <c r="X4" s="10" t="n">
        <v>-0.054483</v>
      </c>
      <c r="Y4" s="10" t="n">
        <v>-0.057374</v>
      </c>
      <c r="Z4" s="10" t="n">
        <v>-0.050628</v>
      </c>
      <c r="AA4" s="10" t="n">
        <v>-0.04232</v>
      </c>
      <c r="AB4" s="10" t="n">
        <v>-0.034274</v>
      </c>
      <c r="AC4" s="10" t="n">
        <v>-0.038455</v>
      </c>
      <c r="AD4" s="10" t="n">
        <v>-0.032603</v>
      </c>
      <c r="AE4" s="10" t="n">
        <v>-0.034795</v>
      </c>
      <c r="AF4" s="10" t="n">
        <v>-0.001639</v>
      </c>
      <c r="AG4" s="10" t="n">
        <v>-0.032239</v>
      </c>
      <c r="AH4" s="10" t="n">
        <v>-0.025693</v>
      </c>
      <c r="AI4" s="10" t="n">
        <v>-0.030089</v>
      </c>
      <c r="AJ4" s="10" t="n">
        <v>-0.02972</v>
      </c>
      <c r="AK4" s="10" t="n">
        <v>-0.022743</v>
      </c>
      <c r="AL4" s="10" t="n">
        <v>-0.025322</v>
      </c>
      <c r="AM4" s="10" t="n">
        <v>-0.024117</v>
      </c>
      <c r="AN4" s="10" t="n">
        <v>-0.027272</v>
      </c>
      <c r="AO4" s="10" t="n">
        <v>-0.028383</v>
      </c>
      <c r="AP4" s="10" t="n">
        <v>-0.023966</v>
      </c>
      <c r="AQ4" s="10" t="n">
        <v>-0.030304</v>
      </c>
      <c r="AR4" s="10" t="n">
        <v>-0.017736</v>
      </c>
      <c r="AS4" s="10" t="n">
        <v>-0.014939</v>
      </c>
      <c r="AT4" s="10" t="n">
        <v>-0.013609</v>
      </c>
      <c r="AU4" s="10" t="n">
        <v>-0.016424</v>
      </c>
      <c r="AV4" s="10" t="n">
        <v>-0.02404</v>
      </c>
      <c r="AW4" s="10" t="n">
        <v>-0.021379</v>
      </c>
      <c r="AX4" s="10" t="n">
        <v>-0.023051</v>
      </c>
      <c r="AY4" s="10" t="n">
        <v>-0.023942</v>
      </c>
      <c r="AZ4" s="10" t="n">
        <v>-0.015978</v>
      </c>
      <c r="BA4" s="10" t="n">
        <v>-0.029634</v>
      </c>
      <c r="BB4" s="10" t="n">
        <v>-0.036923</v>
      </c>
      <c r="BC4" s="10" t="n">
        <v>-0.022612</v>
      </c>
      <c r="BD4" s="10" t="n">
        <v>-0.026966</v>
      </c>
      <c r="BE4" s="10" t="n">
        <v>-0.030958</v>
      </c>
      <c r="BF4" s="10" t="n">
        <v>-0.018182</v>
      </c>
      <c r="BG4" s="10" t="n">
        <v>-0.015961</v>
      </c>
      <c r="BH4" s="10" t="n">
        <v>-0.021359</v>
      </c>
      <c r="BI4" s="10" t="n">
        <v>-0.018896</v>
      </c>
      <c r="BJ4" s="10" t="n">
        <v>-0.021053</v>
      </c>
      <c r="BK4" s="10" t="n">
        <v>-0.026612</v>
      </c>
      <c r="BL4" s="10" t="n">
        <v>-0.017577</v>
      </c>
      <c r="BM4" s="10" t="n">
        <v>-0.021846</v>
      </c>
      <c r="BN4" s="10" t="n">
        <v>-0.013751</v>
      </c>
      <c r="BO4" s="10" t="n">
        <v>-0.006503</v>
      </c>
      <c r="BP4" s="10" t="n">
        <v>-0.012172</v>
      </c>
      <c r="BQ4" s="10" t="n">
        <v>0.000223</v>
      </c>
      <c r="BR4" s="10" t="n">
        <v>-0.005245</v>
      </c>
      <c r="BS4" s="10" t="n">
        <v>-0.012938</v>
      </c>
      <c r="BT4" s="10" t="n">
        <v>-0.01635</v>
      </c>
      <c r="BU4" s="10" t="n">
        <v>-0.001729</v>
      </c>
      <c r="BV4" s="10" t="n">
        <v>0.015184</v>
      </c>
      <c r="BW4" s="10" t="n">
        <v>-0.003769</v>
      </c>
      <c r="BX4" s="10" t="n">
        <v>-0.016045</v>
      </c>
      <c r="BY4" s="10" t="n">
        <v>-0.018895</v>
      </c>
      <c r="BZ4" s="10" t="n">
        <v>-0.004157</v>
      </c>
      <c r="CA4" s="10" t="n">
        <v>-0.018224</v>
      </c>
      <c r="CB4" s="10" t="n">
        <v>-0.022304</v>
      </c>
      <c r="CC4" s="10" t="n">
        <v>-0.041112</v>
      </c>
      <c r="CD4" s="10" t="n">
        <v>-0.032535</v>
      </c>
      <c r="CE4" s="10" t="n">
        <v>-0.030323</v>
      </c>
      <c r="CF4" s="10" t="n">
        <v>-0.061293</v>
      </c>
      <c r="CG4" s="10" t="n">
        <v>-0.04417</v>
      </c>
      <c r="CH4" s="10" t="n">
        <v>-0.02687</v>
      </c>
      <c r="CI4" s="10" t="n">
        <v>-0.017735</v>
      </c>
      <c r="CJ4" s="10" t="n">
        <v>-0.011494</v>
      </c>
      <c r="CK4" s="10" t="n">
        <v>-0.015911</v>
      </c>
      <c r="CL4" s="10" t="n">
        <v>-0.015536</v>
      </c>
      <c r="CM4" s="10" t="n">
        <v>-0.019142</v>
      </c>
      <c r="CN4" s="10" t="n">
        <v>0.008031</v>
      </c>
      <c r="CO4" s="10" t="n">
        <v>0.004185</v>
      </c>
      <c r="CP4" s="10" t="n">
        <v>-0.007483</v>
      </c>
      <c r="CQ4" s="10" t="n">
        <v>-0.000671</v>
      </c>
      <c r="CR4" s="10" t="n">
        <v>-0.019179</v>
      </c>
      <c r="CS4" s="10" t="n">
        <v>-0.023347</v>
      </c>
      <c r="CT4" s="10" t="n">
        <v>-0.021789</v>
      </c>
      <c r="CU4" s="10" t="n">
        <v>-0.029507</v>
      </c>
      <c r="CV4" s="10" t="n">
        <v>-0.024863</v>
      </c>
      <c r="CW4" s="10" t="n">
        <v>-0.022836</v>
      </c>
      <c r="CX4" s="10" t="n">
        <v>-0.022236</v>
      </c>
      <c r="CY4" s="10" t="n">
        <v>-0.025587</v>
      </c>
      <c r="CZ4" s="10" t="n">
        <v>-0.030231</v>
      </c>
      <c r="DA4" s="10" t="n">
        <v>-0.043224</v>
      </c>
      <c r="DB4" s="10" t="n">
        <v>-0.044725</v>
      </c>
      <c r="DC4" s="10" t="n">
        <v>-0.07076</v>
      </c>
      <c r="DD4" s="10" t="n">
        <v>-0.05761</v>
      </c>
      <c r="DE4" s="10" t="n">
        <v>-0.034042</v>
      </c>
      <c r="DF4" s="10" t="n">
        <v>-0.027184</v>
      </c>
      <c r="DG4" s="10" t="n">
        <v>-0.035052</v>
      </c>
      <c r="DH4" s="10" t="n">
        <v>-0.008428</v>
      </c>
      <c r="DI4" s="10" t="n">
        <v>-0.036371</v>
      </c>
      <c r="DJ4" s="10" t="n">
        <v>-0.038761</v>
      </c>
      <c r="DK4" s="10" t="n">
        <v>-0.027972</v>
      </c>
      <c r="DL4" s="10" t="n">
        <v>-0.016271</v>
      </c>
      <c r="DM4" s="10" t="n">
        <v>-0.017816</v>
      </c>
      <c r="DN4" s="10" t="n">
        <v>-0.008052999999999999</v>
      </c>
      <c r="DO4" s="10" t="n">
        <v>-0.023536</v>
      </c>
      <c r="DP4" s="10" t="n">
        <v>-0.029487</v>
      </c>
      <c r="DQ4" s="10" t="n">
        <v>-0.037657</v>
      </c>
      <c r="DR4" s="10" t="n">
        <v>-0.029648</v>
      </c>
      <c r="DS4" s="10" t="n">
        <v>-0.03019</v>
      </c>
      <c r="DT4" s="10" t="n">
        <v>-0.041056</v>
      </c>
      <c r="DU4" s="10" t="n">
        <v>-0.037311</v>
      </c>
      <c r="DV4" s="10" t="n">
        <v>-0.008939000000000001</v>
      </c>
      <c r="DW4" s="10" t="n">
        <v>-0.018377</v>
      </c>
      <c r="DX4" s="10" t="n">
        <v>-0.030386</v>
      </c>
      <c r="DY4" s="10" t="n">
        <v>-0.033049</v>
      </c>
      <c r="DZ4" s="10" t="n">
        <v>-0.030982</v>
      </c>
      <c r="EA4" s="10" t="n">
        <v>-0.031659</v>
      </c>
      <c r="EB4" s="10" t="n">
        <v>-0.036491</v>
      </c>
      <c r="EC4" s="10" t="n">
        <v>-0.041069</v>
      </c>
      <c r="ED4" s="10" t="n">
        <v>-0.031005</v>
      </c>
      <c r="EE4" s="10" t="n">
        <v>-0.023076</v>
      </c>
      <c r="EF4" s="10" t="n">
        <v>-0.011421</v>
      </c>
    </row>
    <row r="5" ht="16.2" customHeight="1" s="54" thickBot="1">
      <c r="A5" s="5" t="n"/>
      <c r="B5" s="7" t="inlineStr">
        <is>
          <t>mom</t>
        </is>
      </c>
      <c r="C5" s="10" t="n">
        <v>0.003592</v>
      </c>
      <c r="D5" s="10" t="n">
        <v>0.002886</v>
      </c>
      <c r="E5" s="10" t="n">
        <v>0.008014</v>
      </c>
      <c r="F5" s="10" t="n">
        <v>0.007439</v>
      </c>
      <c r="G5" s="10" t="n">
        <v>-0.00017</v>
      </c>
      <c r="H5" s="10" t="n">
        <v>0.009136</v>
      </c>
      <c r="I5" s="10" t="n">
        <v>0.012007</v>
      </c>
      <c r="J5" s="10" t="n">
        <v>0.005946</v>
      </c>
      <c r="K5" s="10" t="n">
        <v>0.016592</v>
      </c>
      <c r="L5" s="10" t="n">
        <v>0.019202</v>
      </c>
      <c r="M5" s="10" t="n">
        <v>0.019702</v>
      </c>
      <c r="N5" s="10" t="n">
        <v>0.020162</v>
      </c>
      <c r="O5" s="10" t="n">
        <v>0.013437</v>
      </c>
      <c r="P5" s="10" t="n">
        <v>0.017638</v>
      </c>
      <c r="Q5" s="10" t="n">
        <v>0.013117</v>
      </c>
      <c r="R5" s="10" t="n">
        <v>0.013457</v>
      </c>
      <c r="S5" s="10" t="n">
        <v>0.016544</v>
      </c>
      <c r="T5" s="10" t="n">
        <v>0.015881</v>
      </c>
      <c r="U5" s="10" t="n">
        <v>0.02594</v>
      </c>
      <c r="V5" s="10" t="n">
        <v>0.019681</v>
      </c>
      <c r="W5" s="10" t="n">
        <v>0.032682</v>
      </c>
      <c r="X5" s="10" t="n">
        <v>0.028819</v>
      </c>
      <c r="Y5" s="10" t="n">
        <v>-0.036097</v>
      </c>
      <c r="Z5" s="10" t="n">
        <v>-0.005819</v>
      </c>
      <c r="AA5" s="10" t="n">
        <v>-0.013844</v>
      </c>
      <c r="AB5" s="10" t="n">
        <v>-0.049937</v>
      </c>
      <c r="AC5" s="10" t="n">
        <v>-0.009207999999999999</v>
      </c>
      <c r="AD5" s="10" t="n">
        <v>-0.065956</v>
      </c>
      <c r="AE5" s="10" t="n">
        <v>-0.021735</v>
      </c>
      <c r="AF5" s="10" t="n">
        <v>0.008972000000000001</v>
      </c>
      <c r="AG5" s="10" t="n">
        <v>-0.011833</v>
      </c>
      <c r="AH5" s="10" t="n">
        <v>-0.002965</v>
      </c>
      <c r="AI5" s="10" t="n">
        <v>0.004786</v>
      </c>
      <c r="AJ5" s="10" t="n">
        <v>0.005737</v>
      </c>
      <c r="AK5" s="10" t="n">
        <v>0.007393</v>
      </c>
      <c r="AL5" s="10" t="n">
        <v>-0.001874</v>
      </c>
      <c r="AM5" s="10" t="n">
        <v>-0.001953</v>
      </c>
      <c r="AN5" s="10" t="n">
        <v>-0.003624</v>
      </c>
      <c r="AO5" s="10" t="n">
        <v>-0.00916</v>
      </c>
      <c r="AP5" s="10" t="n">
        <v>0.002542</v>
      </c>
      <c r="AQ5" s="10" t="n">
        <v>0.003848</v>
      </c>
      <c r="AR5" s="10" t="n">
        <v>0.003403</v>
      </c>
      <c r="AS5" s="10" t="n">
        <v>0.000857</v>
      </c>
      <c r="AT5" s="10" t="n">
        <v>0.008179000000000001</v>
      </c>
      <c r="AU5" s="10" t="n">
        <v>0.010058</v>
      </c>
      <c r="AV5" s="10" t="n">
        <v>0.011138</v>
      </c>
      <c r="AW5" s="10" t="n">
        <v>0.013378</v>
      </c>
      <c r="AX5" s="10" t="n">
        <v>0.011885</v>
      </c>
      <c r="AY5" s="10" t="n">
        <v>-7e-06</v>
      </c>
      <c r="AZ5" s="10" t="n">
        <v>0.007823999999999999</v>
      </c>
      <c r="BA5" s="10" t="n">
        <v>0.006989</v>
      </c>
      <c r="BB5" s="10" t="n">
        <v>0.007187</v>
      </c>
      <c r="BC5" s="10" t="n">
        <v>-0.002392</v>
      </c>
      <c r="BD5" s="10" t="n">
        <v>0.000726</v>
      </c>
      <c r="BE5" s="10" t="n">
        <v>-0.002227</v>
      </c>
      <c r="BF5" s="10" t="n">
        <v>-0.001045</v>
      </c>
      <c r="BG5" s="10" t="n">
        <v>-0.020711</v>
      </c>
      <c r="BH5" s="10" t="n">
        <v>-0.044325</v>
      </c>
      <c r="BI5" s="10" t="n">
        <v>-0.014766</v>
      </c>
      <c r="BJ5" s="10" t="n">
        <v>-0.022278</v>
      </c>
      <c r="BK5" s="10" t="n">
        <v>-0.023507</v>
      </c>
      <c r="BL5" s="10" t="n">
        <v>-0.016596</v>
      </c>
      <c r="BM5" s="10" t="n">
        <v>-0.037766</v>
      </c>
      <c r="BN5" s="10" t="n">
        <v>-0.010041</v>
      </c>
      <c r="BO5" s="10" t="n">
        <v>-0.007494</v>
      </c>
      <c r="BP5" s="10" t="n">
        <v>0.003371</v>
      </c>
      <c r="BQ5" s="10" t="n">
        <v>0.006821</v>
      </c>
      <c r="BR5" s="10" t="n">
        <v>0.0056</v>
      </c>
      <c r="BS5" s="10" t="n">
        <v>0.015476</v>
      </c>
      <c r="BT5" s="10" t="n">
        <v>0.002505</v>
      </c>
      <c r="BU5" s="10" t="n">
        <v>0.006905</v>
      </c>
      <c r="BV5" s="10" t="n">
        <v>0.00676</v>
      </c>
      <c r="BW5" s="10" t="n">
        <v>0.005385</v>
      </c>
      <c r="BX5" s="10" t="n">
        <v>-0.000514</v>
      </c>
      <c r="BY5" s="10" t="n">
        <v>-0.004222</v>
      </c>
      <c r="BZ5" s="10" t="n">
        <v>0.001364</v>
      </c>
      <c r="CA5" s="10" t="n">
        <v>0.01234</v>
      </c>
      <c r="CB5" s="10" t="n">
        <v>0.016161</v>
      </c>
      <c r="CC5" s="10" t="n">
        <v>0.00217</v>
      </c>
      <c r="CD5" s="10" t="n">
        <v>0.008397999999999999</v>
      </c>
      <c r="CE5" s="10" t="n">
        <v>0.002992</v>
      </c>
      <c r="CF5" s="10" t="n">
        <v>-0.000834</v>
      </c>
      <c r="CG5" s="10" t="n">
        <v>-0.00074</v>
      </c>
      <c r="CH5" s="10" t="n">
        <v>-0.011915</v>
      </c>
      <c r="CI5" s="10" t="n">
        <v>-0.014455</v>
      </c>
      <c r="CJ5" s="10" t="n">
        <v>-0.00726</v>
      </c>
      <c r="CK5" s="10" t="n">
        <v>-0.001294</v>
      </c>
      <c r="CL5" s="10" t="n">
        <v>0.009443</v>
      </c>
      <c r="CM5" s="10" t="n">
        <v>0.005114</v>
      </c>
      <c r="CN5" s="10" t="n">
        <v>0.002873</v>
      </c>
      <c r="CO5" s="10" t="n">
        <v>0.01724</v>
      </c>
      <c r="CP5" s="10" t="n">
        <v>0.011414</v>
      </c>
      <c r="CQ5" s="10" t="n">
        <v>0.009006999999999999</v>
      </c>
      <c r="CR5" s="10" t="n">
        <v>-0.002083</v>
      </c>
      <c r="CS5" s="10" t="n">
        <v>-0.021706</v>
      </c>
      <c r="CT5" s="10" t="n">
        <v>-0.005332</v>
      </c>
      <c r="CU5" s="10" t="n">
        <v>-0.003687</v>
      </c>
      <c r="CV5" s="10" t="n">
        <v>-0.037796</v>
      </c>
      <c r="CW5" s="10" t="n">
        <v>-0.013894</v>
      </c>
      <c r="CX5" s="10" t="n">
        <v>0.006629</v>
      </c>
      <c r="CY5" s="10" t="n">
        <v>-0.008267</v>
      </c>
      <c r="CZ5" s="10" t="n">
        <v>0.001635</v>
      </c>
      <c r="DA5" s="10" t="n">
        <v>0.00041</v>
      </c>
      <c r="DB5" s="10" t="n">
        <v>0.004416</v>
      </c>
      <c r="DC5" s="10" t="n">
        <v>0.027</v>
      </c>
      <c r="DD5" s="10" t="n">
        <v>0.009318999999999999</v>
      </c>
      <c r="DE5" s="10" t="n">
        <v>-0.007797</v>
      </c>
      <c r="DF5" s="10" t="n">
        <v>-0.008187</v>
      </c>
      <c r="DG5" s="10" t="n">
        <v>0.004708</v>
      </c>
      <c r="DH5" s="10" t="n">
        <v>-0.013667</v>
      </c>
      <c r="DI5" s="10" t="n">
        <v>-0.007051</v>
      </c>
      <c r="DJ5" s="10" t="n">
        <v>-0.001759</v>
      </c>
      <c r="DK5" s="10" t="n">
        <v>0.003309</v>
      </c>
      <c r="DL5" s="10" t="n">
        <v>0.004863</v>
      </c>
      <c r="DM5" s="10" t="n">
        <v>0.003615</v>
      </c>
      <c r="DN5" s="10" t="n">
        <v>0.006288</v>
      </c>
      <c r="DO5" s="10" t="n">
        <v>0.003553</v>
      </c>
      <c r="DP5" s="10" t="n">
        <v>0.002522</v>
      </c>
      <c r="DQ5" s="10" t="n">
        <v>-0.010665</v>
      </c>
      <c r="DR5" s="10" t="n">
        <v>0.010995</v>
      </c>
      <c r="DS5" s="10" t="n">
        <v>-0.000645</v>
      </c>
      <c r="DT5" s="10" t="n">
        <v>0.000235</v>
      </c>
      <c r="DU5" s="10" t="n">
        <v>0.007369</v>
      </c>
      <c r="DV5" s="10" t="n">
        <v>0.006778</v>
      </c>
      <c r="DW5" s="10" t="n">
        <v>-0.003771</v>
      </c>
      <c r="DX5" s="10" t="n">
        <v>0.001106</v>
      </c>
      <c r="DY5" s="10" t="n">
        <v>0.003387</v>
      </c>
      <c r="DZ5" s="10" t="n">
        <v>0.003255</v>
      </c>
      <c r="EA5" s="10" t="n">
        <v>0.006266</v>
      </c>
      <c r="EB5" s="10" t="n">
        <v>-0.017113</v>
      </c>
      <c r="EC5" s="10" t="n">
        <v>-0.020887</v>
      </c>
      <c r="ED5" s="10" t="n">
        <v>-0.009285</v>
      </c>
      <c r="EE5" s="10" t="n">
        <v>-0.011959</v>
      </c>
      <c r="EF5" s="10" t="n">
        <v>-0.014123</v>
      </c>
    </row>
    <row r="6" ht="17.7" customFormat="1" customHeight="1" s="6" thickBot="1">
      <c r="A6" s="50" t="inlineStr">
        <is>
          <t>選絕對值最大</t>
        </is>
      </c>
      <c r="B6" s="51" t="n"/>
      <c r="C6" s="11" t="n">
        <v>2</v>
      </c>
      <c r="D6" s="11" t="n">
        <v>2</v>
      </c>
      <c r="E6" s="11" t="n">
        <v>2</v>
      </c>
      <c r="F6" s="11" t="n">
        <v>2</v>
      </c>
      <c r="G6" s="11" t="n">
        <v>2</v>
      </c>
      <c r="H6" s="11" t="n">
        <v>2</v>
      </c>
      <c r="I6" s="11" t="n">
        <v>2</v>
      </c>
      <c r="J6" s="11" t="n">
        <v>2</v>
      </c>
      <c r="K6" s="11" t="n">
        <v>2</v>
      </c>
      <c r="L6" s="11" t="n">
        <v>2</v>
      </c>
      <c r="M6" s="11" t="n">
        <v>1</v>
      </c>
      <c r="N6" s="11" t="n">
        <v>2</v>
      </c>
      <c r="O6" s="11" t="n">
        <v>2</v>
      </c>
      <c r="P6" s="11" t="n">
        <v>2</v>
      </c>
      <c r="Q6" s="11" t="n">
        <v>2</v>
      </c>
      <c r="R6" s="11" t="n">
        <v>2</v>
      </c>
      <c r="S6" s="11" t="n">
        <v>2</v>
      </c>
      <c r="T6" s="11" t="n">
        <v>1</v>
      </c>
      <c r="U6" s="11" t="n">
        <v>2</v>
      </c>
      <c r="V6" s="11" t="n">
        <v>2</v>
      </c>
      <c r="W6" s="11" t="n">
        <v>1</v>
      </c>
      <c r="X6" s="11" t="n">
        <v>2</v>
      </c>
      <c r="Y6" s="11" t="n">
        <v>2</v>
      </c>
      <c r="Z6" s="11" t="n">
        <v>2</v>
      </c>
      <c r="AA6" s="11" t="n">
        <v>2</v>
      </c>
      <c r="AB6" s="11" t="n">
        <v>3</v>
      </c>
      <c r="AC6" s="11" t="n">
        <v>2</v>
      </c>
      <c r="AD6" s="11" t="n">
        <v>3</v>
      </c>
      <c r="AE6" s="11" t="n">
        <v>2</v>
      </c>
      <c r="AF6" s="11" t="n">
        <v>1</v>
      </c>
      <c r="AG6" s="11" t="n">
        <v>2</v>
      </c>
      <c r="AH6" s="11" t="n">
        <v>1</v>
      </c>
      <c r="AI6" s="11" t="n">
        <v>1</v>
      </c>
      <c r="AJ6" s="11" t="n">
        <v>1</v>
      </c>
      <c r="AK6" s="11" t="n">
        <v>1</v>
      </c>
      <c r="AL6" s="11" t="n">
        <v>1</v>
      </c>
      <c r="AM6" s="11" t="n">
        <v>1</v>
      </c>
      <c r="AN6" s="11" t="n">
        <v>1</v>
      </c>
      <c r="AO6" s="11" t="n">
        <v>1</v>
      </c>
      <c r="AP6" s="11" t="n">
        <v>1</v>
      </c>
      <c r="AQ6" s="11" t="n">
        <v>1</v>
      </c>
      <c r="AR6" s="11" t="n">
        <v>1</v>
      </c>
      <c r="AS6" s="11" t="n">
        <v>1</v>
      </c>
      <c r="AT6" s="11" t="n">
        <v>1</v>
      </c>
      <c r="AU6" s="11" t="n">
        <v>1</v>
      </c>
      <c r="AV6" s="11" t="n">
        <v>1</v>
      </c>
      <c r="AW6" s="11" t="n">
        <v>1</v>
      </c>
      <c r="AX6" s="11" t="n">
        <v>1</v>
      </c>
      <c r="AY6" s="11" t="n">
        <v>1</v>
      </c>
      <c r="AZ6" s="11" t="n">
        <v>1</v>
      </c>
      <c r="BA6" s="11" t="n">
        <v>2</v>
      </c>
      <c r="BB6" s="11" t="n">
        <v>2</v>
      </c>
      <c r="BC6" s="11" t="n">
        <v>1</v>
      </c>
      <c r="BD6" s="11" t="n">
        <v>1</v>
      </c>
      <c r="BE6" s="11" t="n">
        <v>1</v>
      </c>
      <c r="BF6" s="11" t="n">
        <v>1</v>
      </c>
      <c r="BG6" s="11" t="n">
        <v>1</v>
      </c>
      <c r="BH6" s="11" t="n">
        <v>1</v>
      </c>
      <c r="BI6" s="11" t="n">
        <v>1</v>
      </c>
      <c r="BJ6" s="11" t="n">
        <v>1</v>
      </c>
      <c r="BK6" s="11" t="n">
        <v>1</v>
      </c>
      <c r="BL6" s="11" t="n">
        <v>1</v>
      </c>
      <c r="BM6" s="11" t="n">
        <v>3</v>
      </c>
      <c r="BN6" s="11" t="n">
        <v>1</v>
      </c>
      <c r="BO6" s="11" t="n">
        <v>1</v>
      </c>
      <c r="BP6" s="11" t="n">
        <v>1</v>
      </c>
      <c r="BQ6" s="11" t="n">
        <v>1</v>
      </c>
      <c r="BR6" s="11" t="n">
        <v>1</v>
      </c>
      <c r="BS6" s="11" t="n">
        <v>1</v>
      </c>
      <c r="BT6" s="11" t="n">
        <v>1</v>
      </c>
      <c r="BU6" s="11" t="n">
        <v>1</v>
      </c>
      <c r="BV6" s="11" t="n">
        <v>1</v>
      </c>
      <c r="BW6" s="11" t="n">
        <v>1</v>
      </c>
      <c r="BX6" s="11" t="n">
        <v>1</v>
      </c>
      <c r="BY6" s="11" t="n">
        <v>1</v>
      </c>
      <c r="BZ6" s="11" t="n">
        <v>1</v>
      </c>
      <c r="CA6" s="11" t="n">
        <v>1</v>
      </c>
      <c r="CB6" s="11" t="n">
        <v>1</v>
      </c>
      <c r="CC6" s="11" t="n">
        <v>2</v>
      </c>
      <c r="CD6" s="11" t="n">
        <v>2</v>
      </c>
      <c r="CE6" s="11" t="n">
        <v>2</v>
      </c>
      <c r="CF6" s="11" t="n">
        <v>2</v>
      </c>
      <c r="CG6" s="11" t="n">
        <v>2</v>
      </c>
      <c r="CH6" s="11" t="n">
        <v>1</v>
      </c>
      <c r="CI6" s="11" t="n">
        <v>1</v>
      </c>
      <c r="CJ6" s="11" t="n">
        <v>1</v>
      </c>
      <c r="CK6" s="11" t="n">
        <v>1</v>
      </c>
      <c r="CL6" s="11" t="n">
        <v>1</v>
      </c>
      <c r="CM6" s="11" t="n">
        <v>1</v>
      </c>
      <c r="CN6" s="11" t="n">
        <v>1</v>
      </c>
      <c r="CO6" s="11" t="n">
        <v>1</v>
      </c>
      <c r="CP6" s="11" t="n">
        <v>1</v>
      </c>
      <c r="CQ6" s="11" t="n">
        <v>3</v>
      </c>
      <c r="CR6" s="11" t="n">
        <v>2</v>
      </c>
      <c r="CS6" s="11" t="n">
        <v>2</v>
      </c>
      <c r="CT6" s="11" t="n">
        <v>1</v>
      </c>
      <c r="CU6" s="11" t="n">
        <v>1</v>
      </c>
      <c r="CV6" s="11" t="n">
        <v>1</v>
      </c>
      <c r="CW6" s="11" t="n">
        <v>1</v>
      </c>
      <c r="CX6" s="11" t="n">
        <v>1</v>
      </c>
      <c r="CY6" s="11" t="n">
        <v>1</v>
      </c>
      <c r="CZ6" s="11" t="n">
        <v>1</v>
      </c>
      <c r="DA6" s="11" t="n">
        <v>1</v>
      </c>
      <c r="DB6" s="11" t="n">
        <v>2</v>
      </c>
      <c r="DC6" s="11" t="n">
        <v>2</v>
      </c>
      <c r="DD6" s="11" t="n">
        <v>2</v>
      </c>
      <c r="DE6" s="11" t="n">
        <v>1</v>
      </c>
      <c r="DF6" s="11" t="n">
        <v>1</v>
      </c>
      <c r="DG6" s="11" t="n">
        <v>1</v>
      </c>
      <c r="DH6" s="11" t="n">
        <v>1</v>
      </c>
      <c r="DI6" s="11" t="n">
        <v>1</v>
      </c>
      <c r="DJ6" s="11" t="n">
        <v>2</v>
      </c>
      <c r="DK6" s="11" t="n">
        <v>1</v>
      </c>
      <c r="DL6" s="11" t="n">
        <v>1</v>
      </c>
      <c r="DM6" s="11" t="n">
        <v>1</v>
      </c>
      <c r="DN6" s="11" t="n">
        <v>1</v>
      </c>
      <c r="DO6" s="11" t="n">
        <v>1</v>
      </c>
      <c r="DP6" s="11" t="n">
        <v>1</v>
      </c>
      <c r="DQ6" s="11" t="n">
        <v>2</v>
      </c>
      <c r="DR6" s="11" t="n">
        <v>1</v>
      </c>
      <c r="DS6" s="11" t="n">
        <v>1</v>
      </c>
      <c r="DT6" s="11" t="n">
        <v>2</v>
      </c>
      <c r="DU6" s="11" t="n">
        <v>2</v>
      </c>
      <c r="DV6" s="11" t="n">
        <v>1</v>
      </c>
      <c r="DW6" s="11" t="n">
        <v>1</v>
      </c>
      <c r="DX6" s="11" t="n">
        <v>1</v>
      </c>
      <c r="DY6" s="11" t="n">
        <v>2</v>
      </c>
      <c r="DZ6" s="11" t="n">
        <v>2</v>
      </c>
      <c r="EA6" s="11" t="n">
        <v>2</v>
      </c>
      <c r="EB6" s="11" t="n">
        <v>1</v>
      </c>
      <c r="EC6" s="11" t="n">
        <v>2</v>
      </c>
      <c r="ED6" s="11" t="n">
        <v>1</v>
      </c>
      <c r="EE6" s="11" t="n">
        <v>1</v>
      </c>
      <c r="EF6" s="11" t="n">
        <v>1</v>
      </c>
    </row>
    <row r="7" ht="16.2" customHeight="1" s="54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size</t>
        </is>
      </c>
      <c r="G7" s="11" t="inlineStr">
        <is>
          <t>size</t>
        </is>
      </c>
      <c r="H7" s="11" t="inlineStr">
        <is>
          <t>size</t>
        </is>
      </c>
      <c r="I7" s="11" t="inlineStr">
        <is>
          <t>size</t>
        </is>
      </c>
      <c r="J7" s="11" t="inlineStr">
        <is>
          <t>size</t>
        </is>
      </c>
      <c r="K7" s="11" t="inlineStr">
        <is>
          <t>size</t>
        </is>
      </c>
      <c r="L7" s="11" t="inlineStr">
        <is>
          <t>size</t>
        </is>
      </c>
      <c r="M7" s="11" t="inlineStr">
        <is>
          <t>bm</t>
        </is>
      </c>
      <c r="N7" s="11" t="inlineStr">
        <is>
          <t>size</t>
        </is>
      </c>
      <c r="O7" s="11" t="inlineStr">
        <is>
          <t>size</t>
        </is>
      </c>
      <c r="P7" s="11" t="inlineStr">
        <is>
          <t>size</t>
        </is>
      </c>
      <c r="Q7" s="11" t="inlineStr">
        <is>
          <t>size</t>
        </is>
      </c>
      <c r="R7" s="11" t="inlineStr">
        <is>
          <t>size</t>
        </is>
      </c>
      <c r="S7" s="11" t="inlineStr">
        <is>
          <t>size</t>
        </is>
      </c>
      <c r="T7" s="11" t="inlineStr">
        <is>
          <t>bm</t>
        </is>
      </c>
      <c r="U7" s="11" t="inlineStr">
        <is>
          <t>size</t>
        </is>
      </c>
      <c r="V7" s="11" t="inlineStr">
        <is>
          <t>size</t>
        </is>
      </c>
      <c r="W7" s="11" t="inlineStr">
        <is>
          <t>bm</t>
        </is>
      </c>
      <c r="X7" s="11" t="inlineStr">
        <is>
          <t>size</t>
        </is>
      </c>
      <c r="Y7" s="11" t="inlineStr">
        <is>
          <t>size</t>
        </is>
      </c>
      <c r="Z7" s="11" t="inlineStr">
        <is>
          <t>size</t>
        </is>
      </c>
      <c r="AA7" s="11" t="inlineStr">
        <is>
          <t>size</t>
        </is>
      </c>
      <c r="AB7" s="11" t="inlineStr">
        <is>
          <t>mom</t>
        </is>
      </c>
      <c r="AC7" s="11" t="inlineStr">
        <is>
          <t>size</t>
        </is>
      </c>
      <c r="AD7" s="11" t="inlineStr">
        <is>
          <t>mom</t>
        </is>
      </c>
      <c r="AE7" s="11" t="inlineStr">
        <is>
          <t>size</t>
        </is>
      </c>
      <c r="AF7" s="11" t="inlineStr">
        <is>
          <t>bm</t>
        </is>
      </c>
      <c r="AG7" s="11" t="inlineStr">
        <is>
          <t>size</t>
        </is>
      </c>
      <c r="AH7" s="11" t="inlineStr">
        <is>
          <t>bm</t>
        </is>
      </c>
      <c r="AI7" s="11" t="inlineStr">
        <is>
          <t>bm</t>
        </is>
      </c>
      <c r="AJ7" s="11" t="inlineStr">
        <is>
          <t>bm</t>
        </is>
      </c>
      <c r="AK7" s="11" t="inlineStr">
        <is>
          <t>bm</t>
        </is>
      </c>
      <c r="AL7" s="11" t="inlineStr">
        <is>
          <t>bm</t>
        </is>
      </c>
      <c r="AM7" s="11" t="inlineStr">
        <is>
          <t>bm</t>
        </is>
      </c>
      <c r="AN7" s="11" t="inlineStr">
        <is>
          <t>bm</t>
        </is>
      </c>
      <c r="AO7" s="11" t="inlineStr">
        <is>
          <t>bm</t>
        </is>
      </c>
      <c r="AP7" s="11" t="inlineStr">
        <is>
          <t>bm</t>
        </is>
      </c>
      <c r="AQ7" s="11" t="inlineStr">
        <is>
          <t>bm</t>
        </is>
      </c>
      <c r="AR7" s="11" t="inlineStr">
        <is>
          <t>bm</t>
        </is>
      </c>
      <c r="AS7" s="11" t="inlineStr">
        <is>
          <t>bm</t>
        </is>
      </c>
      <c r="AT7" s="11" t="inlineStr">
        <is>
          <t>bm</t>
        </is>
      </c>
      <c r="AU7" s="11" t="inlineStr">
        <is>
          <t>bm</t>
        </is>
      </c>
      <c r="AV7" s="11" t="inlineStr">
        <is>
          <t>bm</t>
        </is>
      </c>
      <c r="AW7" s="11" t="inlineStr">
        <is>
          <t>bm</t>
        </is>
      </c>
      <c r="AX7" s="11" t="inlineStr">
        <is>
          <t>bm</t>
        </is>
      </c>
      <c r="AY7" s="11" t="inlineStr">
        <is>
          <t>bm</t>
        </is>
      </c>
      <c r="AZ7" s="11" t="inlineStr">
        <is>
          <t>bm</t>
        </is>
      </c>
      <c r="BA7" s="11" t="inlineStr">
        <is>
          <t>size</t>
        </is>
      </c>
      <c r="BB7" s="11" t="inlineStr">
        <is>
          <t>size</t>
        </is>
      </c>
      <c r="BC7" s="11" t="inlineStr">
        <is>
          <t>bm</t>
        </is>
      </c>
      <c r="BD7" s="11" t="inlineStr">
        <is>
          <t>bm</t>
        </is>
      </c>
      <c r="BE7" s="11" t="inlineStr">
        <is>
          <t>bm</t>
        </is>
      </c>
      <c r="BF7" s="11" t="inlineStr">
        <is>
          <t>bm</t>
        </is>
      </c>
      <c r="BG7" s="11" t="inlineStr">
        <is>
          <t>bm</t>
        </is>
      </c>
      <c r="BH7" s="11" t="inlineStr">
        <is>
          <t>bm</t>
        </is>
      </c>
      <c r="BI7" s="11" t="inlineStr">
        <is>
          <t>bm</t>
        </is>
      </c>
      <c r="BJ7" s="11" t="inlineStr">
        <is>
          <t>bm</t>
        </is>
      </c>
      <c r="BK7" s="11" t="inlineStr">
        <is>
          <t>bm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bm</t>
        </is>
      </c>
      <c r="BO7" s="11" t="inlineStr">
        <is>
          <t>bm</t>
        </is>
      </c>
      <c r="BP7" s="11" t="inlineStr">
        <is>
          <t>bm</t>
        </is>
      </c>
      <c r="BQ7" s="11" t="inlineStr">
        <is>
          <t>bm</t>
        </is>
      </c>
      <c r="BR7" s="11" t="inlineStr">
        <is>
          <t>bm</t>
        </is>
      </c>
      <c r="BS7" s="11" t="inlineStr">
        <is>
          <t>bm</t>
        </is>
      </c>
      <c r="BT7" s="11" t="inlineStr">
        <is>
          <t>bm</t>
        </is>
      </c>
      <c r="BU7" s="11" t="inlineStr">
        <is>
          <t>bm</t>
        </is>
      </c>
      <c r="BV7" s="11" t="inlineStr">
        <is>
          <t>bm</t>
        </is>
      </c>
      <c r="BW7" s="11" t="inlineStr">
        <is>
          <t>bm</t>
        </is>
      </c>
      <c r="BX7" s="11" t="inlineStr">
        <is>
          <t>bm</t>
        </is>
      </c>
      <c r="BY7" s="11" t="inlineStr">
        <is>
          <t>bm</t>
        </is>
      </c>
      <c r="BZ7" s="11" t="inlineStr">
        <is>
          <t>bm</t>
        </is>
      </c>
      <c r="CA7" s="11" t="inlineStr">
        <is>
          <t>bm</t>
        </is>
      </c>
      <c r="CB7" s="11" t="inlineStr">
        <is>
          <t>bm</t>
        </is>
      </c>
      <c r="CC7" s="11" t="inlineStr">
        <is>
          <t>size</t>
        </is>
      </c>
      <c r="CD7" s="11" t="inlineStr">
        <is>
          <t>size</t>
        </is>
      </c>
      <c r="CE7" s="11" t="inlineStr">
        <is>
          <t>size</t>
        </is>
      </c>
      <c r="CF7" s="11" t="inlineStr">
        <is>
          <t>size</t>
        </is>
      </c>
      <c r="CG7" s="11" t="inlineStr">
        <is>
          <t>size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bm</t>
        </is>
      </c>
      <c r="CK7" s="11" t="inlineStr">
        <is>
          <t>bm</t>
        </is>
      </c>
      <c r="CL7" s="11" t="inlineStr">
        <is>
          <t>bm</t>
        </is>
      </c>
      <c r="CM7" s="11" t="inlineStr">
        <is>
          <t>bm</t>
        </is>
      </c>
      <c r="CN7" s="11" t="inlineStr">
        <is>
          <t>bm</t>
        </is>
      </c>
      <c r="CO7" s="11" t="inlineStr">
        <is>
          <t>bm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size</t>
        </is>
      </c>
      <c r="CS7" s="11" t="inlineStr">
        <is>
          <t>size</t>
        </is>
      </c>
      <c r="CT7" s="11" t="inlineStr">
        <is>
          <t>bm</t>
        </is>
      </c>
      <c r="CU7" s="11" t="inlineStr">
        <is>
          <t>bm</t>
        </is>
      </c>
      <c r="CV7" s="11" t="inlineStr">
        <is>
          <t>bm</t>
        </is>
      </c>
      <c r="CW7" s="11" t="inlineStr">
        <is>
          <t>bm</t>
        </is>
      </c>
      <c r="CX7" s="11" t="inlineStr">
        <is>
          <t>bm</t>
        </is>
      </c>
      <c r="CY7" s="11" t="inlineStr">
        <is>
          <t>bm</t>
        </is>
      </c>
      <c r="CZ7" s="11" t="inlineStr">
        <is>
          <t>bm</t>
        </is>
      </c>
      <c r="DA7" s="11" t="inlineStr">
        <is>
          <t>bm</t>
        </is>
      </c>
      <c r="DB7" s="11" t="inlineStr">
        <is>
          <t>size</t>
        </is>
      </c>
      <c r="DC7" s="11" t="inlineStr">
        <is>
          <t>size</t>
        </is>
      </c>
      <c r="DD7" s="11" t="inlineStr">
        <is>
          <t>size</t>
        </is>
      </c>
      <c r="DE7" s="11" t="inlineStr">
        <is>
          <t>bm</t>
        </is>
      </c>
      <c r="DF7" s="11" t="inlineStr">
        <is>
          <t>bm</t>
        </is>
      </c>
      <c r="DG7" s="11" t="inlineStr">
        <is>
          <t>bm</t>
        </is>
      </c>
      <c r="DH7" s="11" t="inlineStr">
        <is>
          <t>bm</t>
        </is>
      </c>
      <c r="DI7" s="11" t="inlineStr">
        <is>
          <t>bm</t>
        </is>
      </c>
      <c r="DJ7" s="11" t="inlineStr">
        <is>
          <t>size</t>
        </is>
      </c>
      <c r="DK7" s="11" t="inlineStr">
        <is>
          <t>bm</t>
        </is>
      </c>
      <c r="DL7" s="11" t="inlineStr">
        <is>
          <t>bm</t>
        </is>
      </c>
      <c r="DM7" s="11" t="inlineStr">
        <is>
          <t>bm</t>
        </is>
      </c>
      <c r="DN7" s="11" t="inlineStr">
        <is>
          <t>bm</t>
        </is>
      </c>
      <c r="DO7" s="11" t="inlineStr">
        <is>
          <t>bm</t>
        </is>
      </c>
      <c r="DP7" s="11" t="inlineStr">
        <is>
          <t>bm</t>
        </is>
      </c>
      <c r="DQ7" s="11" t="inlineStr">
        <is>
          <t>size</t>
        </is>
      </c>
      <c r="DR7" s="11" t="inlineStr">
        <is>
          <t>bm</t>
        </is>
      </c>
      <c r="DS7" s="11" t="inlineStr">
        <is>
          <t>bm</t>
        </is>
      </c>
      <c r="DT7" s="11" t="inlineStr">
        <is>
          <t>size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bm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size</t>
        </is>
      </c>
      <c r="EB7" s="11" t="inlineStr">
        <is>
          <t>bm</t>
        </is>
      </c>
      <c r="EC7" s="11" t="inlineStr">
        <is>
          <t>size</t>
        </is>
      </c>
      <c r="ED7" s="11" t="inlineStr">
        <is>
          <t>bm</t>
        </is>
      </c>
      <c r="EE7" s="11" t="inlineStr">
        <is>
          <t>bm</t>
        </is>
      </c>
      <c r="EF7" s="11" t="inlineStr">
        <is>
          <t>bm</t>
        </is>
      </c>
    </row>
    <row r="8" ht="16.2" customHeight="1" s="54" thickBot="1">
      <c r="C8" s="11" t="n">
        <v>-0.04966</v>
      </c>
      <c r="D8" s="11" t="n">
        <v>-0.064453</v>
      </c>
      <c r="E8" s="11" t="n">
        <v>-0.095805</v>
      </c>
      <c r="F8" s="11" t="n">
        <v>-0.076694</v>
      </c>
      <c r="G8" s="11" t="n">
        <v>-0.026515</v>
      </c>
      <c r="H8" s="11" t="n">
        <v>-0.034152</v>
      </c>
      <c r="I8" s="11" t="n">
        <v>-0.046191</v>
      </c>
      <c r="J8" s="11" t="n">
        <v>-0.046178</v>
      </c>
      <c r="K8" s="11" t="n">
        <v>-0.045932</v>
      </c>
      <c r="L8" s="11" t="n">
        <v>-0.040812</v>
      </c>
      <c r="M8" s="11" t="n">
        <v>0.032729</v>
      </c>
      <c r="N8" s="11" t="n">
        <v>-0.035831</v>
      </c>
      <c r="O8" s="11" t="n">
        <v>-0.057023</v>
      </c>
      <c r="P8" s="11" t="n">
        <v>-0.042463</v>
      </c>
      <c r="Q8" s="11" t="n">
        <v>-0.037772</v>
      </c>
      <c r="R8" s="11" t="n">
        <v>-0.028628</v>
      </c>
      <c r="S8" s="11" t="n">
        <v>-0.030998</v>
      </c>
      <c r="T8" s="11" t="n">
        <v>0.022621</v>
      </c>
      <c r="U8" s="11" t="n">
        <v>-0.037957</v>
      </c>
      <c r="V8" s="11" t="n">
        <v>-0.029502</v>
      </c>
      <c r="W8" s="11" t="n">
        <v>0.045784</v>
      </c>
      <c r="X8" s="11" t="n">
        <v>-0.054483</v>
      </c>
      <c r="Y8" s="11" t="n">
        <v>-0.057374</v>
      </c>
      <c r="Z8" s="11" t="n">
        <v>-0.050628</v>
      </c>
      <c r="AA8" s="11" t="n">
        <v>-0.04232</v>
      </c>
      <c r="AB8" s="11" t="n">
        <v>-0.049937</v>
      </c>
      <c r="AC8" s="11" t="n">
        <v>-0.038455</v>
      </c>
      <c r="AD8" s="11" t="n">
        <v>-0.065956</v>
      </c>
      <c r="AE8" s="11" t="n">
        <v>-0.034795</v>
      </c>
      <c r="AF8" s="11" t="n">
        <v>0.013118</v>
      </c>
      <c r="AG8" s="11" t="n">
        <v>-0.032239</v>
      </c>
      <c r="AH8" s="11" t="n">
        <v>0.031884</v>
      </c>
      <c r="AI8" s="11" t="n">
        <v>0.036386</v>
      </c>
      <c r="AJ8" s="11" t="n">
        <v>0.035949</v>
      </c>
      <c r="AK8" s="11" t="n">
        <v>0.043483</v>
      </c>
      <c r="AL8" s="11" t="n">
        <v>0.038462</v>
      </c>
      <c r="AM8" s="11" t="n">
        <v>0.03941</v>
      </c>
      <c r="AN8" s="11" t="n">
        <v>0.050744</v>
      </c>
      <c r="AO8" s="11" t="n">
        <v>0.053685</v>
      </c>
      <c r="AP8" s="11" t="n">
        <v>0.049315</v>
      </c>
      <c r="AQ8" s="11" t="n">
        <v>0.032774</v>
      </c>
      <c r="AR8" s="11" t="n">
        <v>0.028295</v>
      </c>
      <c r="AS8" s="11" t="n">
        <v>0.028378</v>
      </c>
      <c r="AT8" s="11" t="n">
        <v>0.023069</v>
      </c>
      <c r="AU8" s="11" t="n">
        <v>0.029397</v>
      </c>
      <c r="AV8" s="11" t="n">
        <v>0.031038</v>
      </c>
      <c r="AW8" s="11" t="n">
        <v>0.026298</v>
      </c>
      <c r="AX8" s="11" t="n">
        <v>0.026165</v>
      </c>
      <c r="AY8" s="11" t="n">
        <v>0.032054</v>
      </c>
      <c r="AZ8" s="11" t="n">
        <v>0.034478</v>
      </c>
      <c r="BA8" s="11" t="n">
        <v>-0.029634</v>
      </c>
      <c r="BB8" s="11" t="n">
        <v>-0.036923</v>
      </c>
      <c r="BC8" s="11" t="n">
        <v>0.037422</v>
      </c>
      <c r="BD8" s="11" t="n">
        <v>0.031414</v>
      </c>
      <c r="BE8" s="11" t="n">
        <v>0.032006</v>
      </c>
      <c r="BF8" s="11" t="n">
        <v>0.028282</v>
      </c>
      <c r="BG8" s="11" t="n">
        <v>0.041103</v>
      </c>
      <c r="BH8" s="11" t="n">
        <v>0.045199</v>
      </c>
      <c r="BI8" s="11" t="n">
        <v>0.041588</v>
      </c>
      <c r="BJ8" s="11" t="n">
        <v>0.040723</v>
      </c>
      <c r="BK8" s="11" t="n">
        <v>0.036328</v>
      </c>
      <c r="BL8" s="11" t="n">
        <v>0.036173</v>
      </c>
      <c r="BM8" s="11" t="n">
        <v>-0.037766</v>
      </c>
      <c r="BN8" s="11" t="n">
        <v>0.030814</v>
      </c>
      <c r="BO8" s="11" t="n">
        <v>0.030656</v>
      </c>
      <c r="BP8" s="11" t="n">
        <v>0.0344</v>
      </c>
      <c r="BQ8" s="11" t="n">
        <v>0.034869</v>
      </c>
      <c r="BR8" s="11" t="n">
        <v>0.036324</v>
      </c>
      <c r="BS8" s="11" t="n">
        <v>0.036164</v>
      </c>
      <c r="BT8" s="11" t="n">
        <v>0.038669</v>
      </c>
      <c r="BU8" s="11" t="n">
        <v>0.041103</v>
      </c>
      <c r="BV8" s="11" t="n">
        <v>0.028684</v>
      </c>
      <c r="BW8" s="11" t="n">
        <v>0.035217</v>
      </c>
      <c r="BX8" s="11" t="n">
        <v>0.040767</v>
      </c>
      <c r="BY8" s="11" t="n">
        <v>0.021604</v>
      </c>
      <c r="BZ8" s="11" t="n">
        <v>0.030434</v>
      </c>
      <c r="CA8" s="11" t="n">
        <v>0.037312</v>
      </c>
      <c r="CB8" s="11" t="n">
        <v>0.027612</v>
      </c>
      <c r="CC8" s="11" t="n">
        <v>-0.041112</v>
      </c>
      <c r="CD8" s="11" t="n">
        <v>-0.032535</v>
      </c>
      <c r="CE8" s="11" t="n">
        <v>-0.030323</v>
      </c>
      <c r="CF8" s="11" t="n">
        <v>-0.061293</v>
      </c>
      <c r="CG8" s="11" t="n">
        <v>-0.04417</v>
      </c>
      <c r="CH8" s="11" t="n">
        <v>0.040909</v>
      </c>
      <c r="CI8" s="11" t="n">
        <v>0.03905</v>
      </c>
      <c r="CJ8" s="11" t="n">
        <v>0.024562</v>
      </c>
      <c r="CK8" s="11" t="n">
        <v>0.034134</v>
      </c>
      <c r="CL8" s="11" t="n">
        <v>0.035926</v>
      </c>
      <c r="CM8" s="11" t="n">
        <v>0.042466</v>
      </c>
      <c r="CN8" s="11" t="n">
        <v>0.036524</v>
      </c>
      <c r="CO8" s="11" t="n">
        <v>0.037659</v>
      </c>
      <c r="CP8" s="11" t="n">
        <v>0.039958</v>
      </c>
      <c r="CQ8" s="11" t="n">
        <v>0.009006999999999999</v>
      </c>
      <c r="CR8" s="11" t="n">
        <v>-0.019179</v>
      </c>
      <c r="CS8" s="11" t="n">
        <v>-0.023347</v>
      </c>
      <c r="CT8" s="11" t="n">
        <v>0.040972</v>
      </c>
      <c r="CU8" s="11" t="n">
        <v>0.038942</v>
      </c>
      <c r="CV8" s="11" t="n">
        <v>0.043015</v>
      </c>
      <c r="CW8" s="11" t="n">
        <v>0.039707</v>
      </c>
      <c r="CX8" s="11" t="n">
        <v>0.039171</v>
      </c>
      <c r="CY8" s="11" t="n">
        <v>0.034941</v>
      </c>
      <c r="CZ8" s="11" t="n">
        <v>0.036027</v>
      </c>
      <c r="DA8" s="11" t="n">
        <v>0.04451</v>
      </c>
      <c r="DB8" s="11" t="n">
        <v>-0.044725</v>
      </c>
      <c r="DC8" s="11" t="n">
        <v>-0.07076</v>
      </c>
      <c r="DD8" s="11" t="n">
        <v>-0.05761</v>
      </c>
      <c r="DE8" s="11" t="n">
        <v>0.041994</v>
      </c>
      <c r="DF8" s="11" t="n">
        <v>0.041965</v>
      </c>
      <c r="DG8" s="11" t="n">
        <v>0.040382</v>
      </c>
      <c r="DH8" s="11" t="n">
        <v>0.036787</v>
      </c>
      <c r="DI8" s="11" t="n">
        <v>0.036878</v>
      </c>
      <c r="DJ8" s="11" t="n">
        <v>-0.038761</v>
      </c>
      <c r="DK8" s="11" t="n">
        <v>0.036536</v>
      </c>
      <c r="DL8" s="11" t="n">
        <v>0.031531</v>
      </c>
      <c r="DM8" s="11" t="n">
        <v>0.028662</v>
      </c>
      <c r="DN8" s="11" t="n">
        <v>0.030845</v>
      </c>
      <c r="DO8" s="11" t="n">
        <v>0.033675</v>
      </c>
      <c r="DP8" s="11" t="n">
        <v>0.035102</v>
      </c>
      <c r="DQ8" s="11" t="n">
        <v>-0.037657</v>
      </c>
      <c r="DR8" s="11" t="n">
        <v>0.034114</v>
      </c>
      <c r="DS8" s="11" t="n">
        <v>0.036716</v>
      </c>
      <c r="DT8" s="11" t="n">
        <v>-0.041056</v>
      </c>
      <c r="DU8" s="11" t="n">
        <v>-0.037311</v>
      </c>
      <c r="DV8" s="11" t="n">
        <v>0.025241</v>
      </c>
      <c r="DW8" s="11" t="n">
        <v>0.035159</v>
      </c>
      <c r="DX8" s="11" t="n">
        <v>0.032305</v>
      </c>
      <c r="DY8" s="11" t="n">
        <v>-0.033049</v>
      </c>
      <c r="DZ8" s="11" t="n">
        <v>-0.030982</v>
      </c>
      <c r="EA8" s="11" t="n">
        <v>-0.031659</v>
      </c>
      <c r="EB8" s="11" t="n">
        <v>0.037231</v>
      </c>
      <c r="EC8" s="11" t="n">
        <v>-0.041069</v>
      </c>
      <c r="ED8" s="11" t="n">
        <v>0.034187</v>
      </c>
      <c r="EE8" s="11" t="n">
        <v>0.025041</v>
      </c>
      <c r="EF8" s="11" t="n">
        <v>0.034121</v>
      </c>
    </row>
    <row r="9" ht="16.2" customHeight="1" s="54" thickBot="1"/>
    <row r="10" ht="17.7" customHeight="1" s="54" thickBot="1">
      <c r="A10" s="50" t="inlineStr">
        <is>
          <t>投資組合</t>
        </is>
      </c>
      <c r="B10" s="51" t="n"/>
      <c r="C10" s="13" t="inlineStr">
        <is>
          <t>公司數</t>
        </is>
      </c>
      <c r="D10" s="50" t="n">
        <v>964</v>
      </c>
    </row>
    <row r="11" ht="17.7" customHeight="1" s="54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9" t="inlineStr">
        <is>
          <t>2025/02</t>
        </is>
      </c>
      <c r="EG11" s="17" t="inlineStr">
        <is>
          <t>sum</t>
        </is>
      </c>
      <c r="EH11" s="13" t="inlineStr">
        <is>
          <t>勝率</t>
        </is>
      </c>
    </row>
    <row r="12" ht="16.2" customFormat="1" customHeight="1" s="8" thickBot="1">
      <c r="A12" s="50" t="n">
        <v>10</v>
      </c>
      <c r="B12" s="50" t="n">
        <v>96</v>
      </c>
      <c r="C12" s="11">
        <f>IF(預測IC!C12&gt;預測IC!C$26,1,0)</f>
        <v/>
      </c>
      <c r="D12" s="11">
        <f>IF(預測IC!D12&gt;預測IC!D$26,1,0)</f>
        <v/>
      </c>
      <c r="E12" s="11">
        <f>IF(預測IC!E12&gt;預測IC!E$26,1,0)</f>
        <v/>
      </c>
      <c r="F12" s="11">
        <f>IF(預測IC!F12&gt;預測IC!F$26,1,0)</f>
        <v/>
      </c>
      <c r="G12" s="11">
        <f>IF(預測IC!G12&gt;預測IC!G$26,1,0)</f>
        <v/>
      </c>
      <c r="H12" s="11">
        <f>IF(預測IC!H12&gt;預測IC!H$26,1,0)</f>
        <v/>
      </c>
      <c r="I12" s="11">
        <f>IF(預測IC!I12&gt;預測IC!I$26,1,0)</f>
        <v/>
      </c>
      <c r="J12" s="11">
        <f>IF(預測IC!J12&gt;預測IC!J$26,1,0)</f>
        <v/>
      </c>
      <c r="K12" s="11">
        <f>IF(預測IC!K12&gt;預測IC!K$26,1,0)</f>
        <v/>
      </c>
      <c r="L12" s="11">
        <f>IF(預測IC!L12&gt;預測IC!L$26,1,0)</f>
        <v/>
      </c>
      <c r="M12" s="11">
        <f>IF(預測IC!M12&gt;預測IC!M$26,1,0)</f>
        <v/>
      </c>
      <c r="N12" s="11">
        <f>IF(預測IC!N12&gt;預測IC!N$26,1,0)</f>
        <v/>
      </c>
      <c r="O12" s="11">
        <f>IF(預測IC!O12&gt;預測IC!O$26,1,0)</f>
        <v/>
      </c>
      <c r="P12" s="11">
        <f>IF(預測IC!P12&gt;預測IC!P$26,1,0)</f>
        <v/>
      </c>
      <c r="Q12" s="11">
        <f>IF(預測IC!Q12&gt;預測IC!Q$26,1,0)</f>
        <v/>
      </c>
      <c r="R12" s="11">
        <f>IF(預測IC!R12&gt;預測IC!R$26,1,0)</f>
        <v/>
      </c>
      <c r="S12" s="11">
        <f>IF(預測IC!S12&gt;預測IC!S$26,1,0)</f>
        <v/>
      </c>
      <c r="T12" s="11">
        <f>IF(預測IC!T12&gt;預測IC!T$26,1,0)</f>
        <v/>
      </c>
      <c r="U12" s="11">
        <f>IF(預測IC!U12&gt;預測IC!U$26,1,0)</f>
        <v/>
      </c>
      <c r="V12" s="11">
        <f>IF(預測IC!V12&gt;預測IC!V$26,1,0)</f>
        <v/>
      </c>
      <c r="W12" s="11">
        <f>IF(預測IC!W12&gt;預測IC!W$26,1,0)</f>
        <v/>
      </c>
      <c r="X12" s="11">
        <f>IF(預測IC!X12&gt;預測IC!X$26,1,0)</f>
        <v/>
      </c>
      <c r="Y12" s="11">
        <f>IF(預測IC!Y12&gt;預測IC!Y$26,1,0)</f>
        <v/>
      </c>
      <c r="Z12" s="11">
        <f>IF(預測IC!Z12&gt;預測IC!Z$26,1,0)</f>
        <v/>
      </c>
      <c r="AA12" s="11">
        <f>IF(預測IC!AA12&gt;預測IC!AA$26,1,0)</f>
        <v/>
      </c>
      <c r="AB12" s="11">
        <f>IF(預測IC!AB12&gt;預測IC!AB$26,1,0)</f>
        <v/>
      </c>
      <c r="AC12" s="11">
        <f>IF(預測IC!AC12&gt;預測IC!AC$26,1,0)</f>
        <v/>
      </c>
      <c r="AD12" s="11">
        <f>IF(預測IC!AD12&gt;預測IC!AD$26,1,0)</f>
        <v/>
      </c>
      <c r="AE12" s="11">
        <f>IF(預測IC!AE12&gt;預測IC!AE$26,1,0)</f>
        <v/>
      </c>
      <c r="AF12" s="11">
        <f>IF(預測IC!AF12&gt;預測IC!AF$26,1,0)</f>
        <v/>
      </c>
      <c r="AG12" s="11">
        <f>IF(預測IC!AG12&gt;預測IC!AG$26,1,0)</f>
        <v/>
      </c>
      <c r="AH12" s="11">
        <f>IF(預測IC!AH12&gt;預測IC!AH$26,1,0)</f>
        <v/>
      </c>
      <c r="AI12" s="11">
        <f>IF(預測IC!AI12&gt;預測IC!AI$26,1,0)</f>
        <v/>
      </c>
      <c r="AJ12" s="11">
        <f>IF(預測IC!AJ12&gt;預測IC!AJ$26,1,0)</f>
        <v/>
      </c>
      <c r="AK12" s="11">
        <f>IF(預測IC!AK12&gt;預測IC!AK$26,1,0)</f>
        <v/>
      </c>
      <c r="AL12" s="11">
        <f>IF(預測IC!AL12&gt;預測IC!AL$26,1,0)</f>
        <v/>
      </c>
      <c r="AM12" s="11">
        <f>IF(預測IC!AM12&gt;預測IC!AM$26,1,0)</f>
        <v/>
      </c>
      <c r="AN12" s="11">
        <f>IF(預測IC!AN12&gt;預測IC!AN$26,1,0)</f>
        <v/>
      </c>
      <c r="AO12" s="11">
        <f>IF(預測IC!AO12&gt;預測IC!AO$26,1,0)</f>
        <v/>
      </c>
      <c r="AP12" s="11">
        <f>IF(預測IC!AP12&gt;預測IC!AP$26,1,0)</f>
        <v/>
      </c>
      <c r="AQ12" s="11">
        <f>IF(預測IC!AQ12&gt;預測IC!AQ$26,1,0)</f>
        <v/>
      </c>
      <c r="AR12" s="11">
        <f>IF(預測IC!AR12&gt;預測IC!AR$26,1,0)</f>
        <v/>
      </c>
      <c r="AS12" s="11">
        <f>IF(預測IC!AS12&gt;預測IC!AS$26,1,0)</f>
        <v/>
      </c>
      <c r="AT12" s="11">
        <f>IF(預測IC!AT12&gt;預測IC!AT$26,1,0)</f>
        <v/>
      </c>
      <c r="AU12" s="11">
        <f>IF(預測IC!AU12&gt;預測IC!AU$26,1,0)</f>
        <v/>
      </c>
      <c r="AV12" s="11">
        <f>IF(預測IC!AV12&gt;預測IC!AV$26,1,0)</f>
        <v/>
      </c>
      <c r="AW12" s="11">
        <f>IF(預測IC!AW12&gt;預測IC!AW$26,1,0)</f>
        <v/>
      </c>
      <c r="AX12" s="11">
        <f>IF(預測IC!AX12&gt;預測IC!AX$26,1,0)</f>
        <v/>
      </c>
      <c r="AY12" s="11">
        <f>IF(預測IC!AY12&gt;預測IC!AY$26,1,0)</f>
        <v/>
      </c>
      <c r="AZ12" s="11">
        <f>IF(預測IC!AZ12&gt;預測IC!AZ$26,1,0)</f>
        <v/>
      </c>
      <c r="BA12" s="11">
        <f>IF(預測IC!BA12&gt;預測IC!BA$26,1,0)</f>
        <v/>
      </c>
      <c r="BB12" s="11">
        <f>IF(預測IC!BB12&gt;預測IC!BB$26,1,0)</f>
        <v/>
      </c>
      <c r="BC12" s="11">
        <f>IF(預測IC!BC12&gt;預測IC!BC$26,1,0)</f>
        <v/>
      </c>
      <c r="BD12" s="11">
        <f>IF(預測IC!BD12&gt;預測IC!BD$26,1,0)</f>
        <v/>
      </c>
      <c r="BE12" s="11">
        <f>IF(預測IC!BE12&gt;預測IC!BE$26,1,0)</f>
        <v/>
      </c>
      <c r="BF12" s="11">
        <f>IF(預測IC!BF12&gt;預測IC!BF$26,1,0)</f>
        <v/>
      </c>
      <c r="BG12" s="11">
        <f>IF(預測IC!BG12&gt;預測IC!BG$26,1,0)</f>
        <v/>
      </c>
      <c r="BH12" s="11">
        <f>IF(預測IC!BH12&gt;預測IC!BH$26,1,0)</f>
        <v/>
      </c>
      <c r="BI12" s="11">
        <f>IF(預測IC!BI12&gt;預測IC!BI$26,1,0)</f>
        <v/>
      </c>
      <c r="BJ12" s="11">
        <f>IF(預測IC!BJ12&gt;預測IC!BJ$26,1,0)</f>
        <v/>
      </c>
      <c r="BK12" s="11">
        <f>IF(預測IC!BK12&gt;預測IC!BK$26,1,0)</f>
        <v/>
      </c>
      <c r="BL12" s="11">
        <f>IF(預測IC!BL12&gt;預測IC!BL$26,1,0)</f>
        <v/>
      </c>
      <c r="BM12" s="11">
        <f>IF(預測IC!BM12&gt;預測IC!BM$26,1,0)</f>
        <v/>
      </c>
      <c r="BN12" s="11">
        <f>IF(預測IC!BN12&gt;預測IC!BN$26,1,0)</f>
        <v/>
      </c>
      <c r="BO12" s="11">
        <f>IF(預測IC!BO12&gt;預測IC!BO$26,1,0)</f>
        <v/>
      </c>
      <c r="BP12" s="11">
        <f>IF(預測IC!BP12&gt;預測IC!BP$26,1,0)</f>
        <v/>
      </c>
      <c r="BQ12" s="11">
        <f>IF(預測IC!BQ12&gt;預測IC!BQ$26,1,0)</f>
        <v/>
      </c>
      <c r="BR12" s="11">
        <f>IF(預測IC!BR12&gt;預測IC!BR$26,1,0)</f>
        <v/>
      </c>
      <c r="BS12" s="11">
        <f>IF(預測IC!BS12&gt;預測IC!BS$26,1,0)</f>
        <v/>
      </c>
      <c r="BT12" s="11">
        <f>IF(預測IC!BT12&gt;預測IC!BT$26,1,0)</f>
        <v/>
      </c>
      <c r="BU12" s="11">
        <f>IF(預測IC!BU12&gt;預測IC!BU$26,1,0)</f>
        <v/>
      </c>
      <c r="BV12" s="11">
        <f>IF(預測IC!BV12&gt;預測IC!BV$26,1,0)</f>
        <v/>
      </c>
      <c r="BW12" s="11">
        <f>IF(預測IC!BW12&gt;預測IC!BW$26,1,0)</f>
        <v/>
      </c>
      <c r="BX12" s="11">
        <f>IF(預測IC!BX12&gt;預測IC!BX$26,1,0)</f>
        <v/>
      </c>
      <c r="BY12" s="11">
        <f>IF(預測IC!BY12&gt;預測IC!BY$26,1,0)</f>
        <v/>
      </c>
      <c r="BZ12" s="11">
        <f>IF(預測IC!BZ12&gt;預測IC!BZ$26,1,0)</f>
        <v/>
      </c>
      <c r="CA12" s="11">
        <f>IF(預測IC!CA12&gt;預測IC!CA$26,1,0)</f>
        <v/>
      </c>
      <c r="CB12" s="11">
        <f>IF(預測IC!CB12&gt;預測IC!CB$26,1,0)</f>
        <v/>
      </c>
      <c r="CC12" s="11">
        <f>IF(預測IC!CC12&gt;預測IC!CC$26,1,0)</f>
        <v/>
      </c>
      <c r="CD12" s="11">
        <f>IF(預測IC!CD12&gt;預測IC!CD$26,1,0)</f>
        <v/>
      </c>
      <c r="CE12" s="11">
        <f>IF(預測IC!CE12&gt;預測IC!CE$26,1,0)</f>
        <v/>
      </c>
      <c r="CF12" s="11">
        <f>IF(預測IC!CF12&gt;預測IC!CF$26,1,0)</f>
        <v/>
      </c>
      <c r="CG12" s="11">
        <f>IF(預測IC!CG12&gt;預測IC!CG$26,1,0)</f>
        <v/>
      </c>
      <c r="CH12" s="11">
        <f>IF(預測IC!CH12&gt;預測IC!CH$26,1,0)</f>
        <v/>
      </c>
      <c r="CI12" s="11">
        <f>IF(預測IC!CI12&gt;預測IC!CI$26,1,0)</f>
        <v/>
      </c>
      <c r="CJ12" s="11">
        <f>IF(預測IC!CJ12&gt;預測IC!CJ$26,1,0)</f>
        <v/>
      </c>
      <c r="CK12" s="11">
        <f>IF(預測IC!CK12&gt;預測IC!CK$26,1,0)</f>
        <v/>
      </c>
      <c r="CL12" s="11">
        <f>IF(預測IC!CL12&gt;預測IC!CL$26,1,0)</f>
        <v/>
      </c>
      <c r="CM12" s="11">
        <f>IF(預測IC!CM12&gt;預測IC!CM$26,1,0)</f>
        <v/>
      </c>
      <c r="CN12" s="11">
        <f>IF(預測IC!CN12&gt;預測IC!CN$26,1,0)</f>
        <v/>
      </c>
      <c r="CO12" s="11">
        <f>IF(預測IC!CO12&gt;預測IC!CO$26,1,0)</f>
        <v/>
      </c>
      <c r="CP12" s="11">
        <f>IF(預測IC!CP12&gt;預測IC!CP$26,1,0)</f>
        <v/>
      </c>
      <c r="CQ12" s="11">
        <f>IF(預測IC!CQ12&gt;預測IC!CQ$26,1,0)</f>
        <v/>
      </c>
      <c r="CR12" s="11">
        <f>IF(預測IC!CR12&gt;預測IC!CR$26,1,0)</f>
        <v/>
      </c>
      <c r="CS12" s="11">
        <f>IF(預測IC!CS12&gt;預測IC!CS$26,1,0)</f>
        <v/>
      </c>
      <c r="CT12" s="11">
        <f>IF(預測IC!CT12&gt;預測IC!CT$26,1,0)</f>
        <v/>
      </c>
      <c r="CU12" s="11">
        <f>IF(預測IC!CU12&gt;預測IC!CU$26,1,0)</f>
        <v/>
      </c>
      <c r="CV12" s="11">
        <f>IF(預測IC!CV12&gt;預測IC!CV$26,1,0)</f>
        <v/>
      </c>
      <c r="CW12" s="11">
        <f>IF(預測IC!CW12&gt;預測IC!CW$26,1,0)</f>
        <v/>
      </c>
      <c r="CX12" s="11">
        <f>IF(預測IC!CX12&gt;預測IC!CX$26,1,0)</f>
        <v/>
      </c>
      <c r="CY12" s="11">
        <f>IF(預測IC!CY12&gt;預測IC!CY$26,1,0)</f>
        <v/>
      </c>
      <c r="CZ12" s="11">
        <f>IF(預測IC!CZ12&gt;預測IC!CZ$26,1,0)</f>
        <v/>
      </c>
      <c r="DA12" s="11">
        <f>IF(預測IC!DA12&gt;預測IC!DA$26,1,0)</f>
        <v/>
      </c>
      <c r="DB12" s="11">
        <f>IF(預測IC!DB12&gt;預測IC!DB$26,1,0)</f>
        <v/>
      </c>
      <c r="DC12" s="11">
        <f>IF(預測IC!DC12&gt;預測IC!DC$26,1,0)</f>
        <v/>
      </c>
      <c r="DD12" s="11">
        <f>IF(預測IC!DD12&gt;預測IC!DD$26,1,0)</f>
        <v/>
      </c>
      <c r="DE12" s="11">
        <f>IF(預測IC!DE12&gt;預測IC!DE$26,1,0)</f>
        <v/>
      </c>
      <c r="DF12" s="11">
        <f>IF(預測IC!DF12&gt;預測IC!DF$26,1,0)</f>
        <v/>
      </c>
      <c r="DG12" s="11">
        <f>IF(預測IC!DG12&gt;預測IC!DG$26,1,0)</f>
        <v/>
      </c>
      <c r="DH12" s="11">
        <f>IF(預測IC!DH12&gt;預測IC!DH$26,1,0)</f>
        <v/>
      </c>
      <c r="DI12" s="11">
        <f>IF(預測IC!DI12&gt;預測IC!DI$26,1,0)</f>
        <v/>
      </c>
      <c r="DJ12" s="11">
        <f>IF(預測IC!DJ12&gt;預測IC!DJ$26,1,0)</f>
        <v/>
      </c>
      <c r="DK12" s="11">
        <f>IF(預測IC!DK12&gt;預測IC!DK$26,1,0)</f>
        <v/>
      </c>
      <c r="DL12" s="11">
        <f>IF(預測IC!DL12&gt;預測IC!DL$26,1,0)</f>
        <v/>
      </c>
      <c r="DM12" s="11">
        <f>IF(預測IC!DM12&gt;預測IC!DM$26,1,0)</f>
        <v/>
      </c>
      <c r="DN12" s="11">
        <f>IF(預測IC!DN12&gt;預測IC!DN$26,1,0)</f>
        <v/>
      </c>
      <c r="DO12" s="11">
        <f>IF(預測IC!DO12&gt;預測IC!DO$26,1,0)</f>
        <v/>
      </c>
      <c r="DP12" s="11">
        <f>IF(預測IC!DP12&gt;預測IC!DP$26,1,0)</f>
        <v/>
      </c>
      <c r="DQ12" s="11">
        <f>IF(預測IC!DQ12&gt;預測IC!DQ$26,1,0)</f>
        <v/>
      </c>
      <c r="DR12" s="11">
        <f>IF(預測IC!DR12&gt;預測IC!DR$26,1,0)</f>
        <v/>
      </c>
      <c r="DS12" s="11">
        <f>IF(預測IC!DS12&gt;預測IC!DS$26,1,0)</f>
        <v/>
      </c>
      <c r="DT12" s="11">
        <f>IF(預測IC!DT12&gt;預測IC!DT$26,1,0)</f>
        <v/>
      </c>
      <c r="DU12" s="11">
        <f>IF(預測IC!DU12&gt;預測IC!DU$26,1,0)</f>
        <v/>
      </c>
      <c r="DV12" s="11">
        <f>IF(預測IC!DV12&gt;預測IC!DV$26,1,0)</f>
        <v/>
      </c>
      <c r="DW12" s="11">
        <f>IF(預測IC!DW12&gt;預測IC!DW$26,1,0)</f>
        <v/>
      </c>
      <c r="DX12" s="11">
        <f>IF(預測IC!DX12&gt;預測IC!DX$26,1,0)</f>
        <v/>
      </c>
      <c r="DY12" s="11">
        <f>IF(預測IC!DY12&gt;預測IC!DY$26,1,0)</f>
        <v/>
      </c>
      <c r="DZ12" s="11">
        <f>IF(預測IC!DZ12&gt;預測IC!DZ$26,1,0)</f>
        <v/>
      </c>
      <c r="EA12" s="11">
        <f>IF(預測IC!EA12&gt;預測IC!EA$26,1,0)</f>
        <v/>
      </c>
      <c r="EB12" s="11">
        <f>IF(預測IC!EB12&gt;預測IC!EB$26,1,0)</f>
        <v/>
      </c>
      <c r="EC12" s="11">
        <f>IF(預測IC!EC12&gt;預測IC!EC$26,1,0)</f>
        <v/>
      </c>
      <c r="ED12" s="11">
        <f>IF(預測IC!ED12&gt;預測IC!ED$26,1,0)</f>
        <v/>
      </c>
      <c r="EE12" s="11">
        <f>IF(預測IC!EE12&gt;預測IC!EE$26,1,0)</f>
        <v/>
      </c>
      <c r="EF12" s="11">
        <f>IF(預測IC!EF12&gt;預測IC!EF$26,1,0)</f>
        <v/>
      </c>
      <c r="EG12" s="20">
        <f>SUM(C12:EF12)</f>
        <v/>
      </c>
      <c r="EH12" s="21">
        <f>SUM(C12:EF12)/134</f>
        <v/>
      </c>
    </row>
    <row r="13" ht="16.2" customFormat="1" customHeight="1" s="8" thickBot="1">
      <c r="A13" s="50" t="n">
        <v>20</v>
      </c>
      <c r="B13" s="50" t="n">
        <v>48</v>
      </c>
      <c r="C13" s="11">
        <f>IF(預測IC!C13&gt;預測IC!C$26,1,0)</f>
        <v/>
      </c>
      <c r="D13" s="11">
        <f>IF(預測IC!D13&gt;預測IC!D$26,1,0)</f>
        <v/>
      </c>
      <c r="E13" s="11">
        <f>IF(預測IC!E13&gt;預測IC!E$26,1,0)</f>
        <v/>
      </c>
      <c r="F13" s="11">
        <f>IF(預測IC!F13&gt;預測IC!F$26,1,0)</f>
        <v/>
      </c>
      <c r="G13" s="11">
        <f>IF(預測IC!G13&gt;預測IC!G$26,1,0)</f>
        <v/>
      </c>
      <c r="H13" s="11">
        <f>IF(預測IC!H13&gt;預測IC!H$26,1,0)</f>
        <v/>
      </c>
      <c r="I13" s="11">
        <f>IF(預測IC!I13&gt;預測IC!I$26,1,0)</f>
        <v/>
      </c>
      <c r="J13" s="11">
        <f>IF(預測IC!J13&gt;預測IC!J$26,1,0)</f>
        <v/>
      </c>
      <c r="K13" s="11">
        <f>IF(預測IC!K13&gt;預測IC!K$26,1,0)</f>
        <v/>
      </c>
      <c r="L13" s="11">
        <f>IF(預測IC!L13&gt;預測IC!L$26,1,0)</f>
        <v/>
      </c>
      <c r="M13" s="11">
        <f>IF(預測IC!M13&gt;預測IC!M$26,1,0)</f>
        <v/>
      </c>
      <c r="N13" s="11">
        <f>IF(預測IC!N13&gt;預測IC!N$26,1,0)</f>
        <v/>
      </c>
      <c r="O13" s="11">
        <f>IF(預測IC!O13&gt;預測IC!O$26,1,0)</f>
        <v/>
      </c>
      <c r="P13" s="11">
        <f>IF(預測IC!P13&gt;預測IC!P$26,1,0)</f>
        <v/>
      </c>
      <c r="Q13" s="11">
        <f>IF(預測IC!Q13&gt;預測IC!Q$26,1,0)</f>
        <v/>
      </c>
      <c r="R13" s="11">
        <f>IF(預測IC!R13&gt;預測IC!R$26,1,0)</f>
        <v/>
      </c>
      <c r="S13" s="11">
        <f>IF(預測IC!S13&gt;預測IC!S$26,1,0)</f>
        <v/>
      </c>
      <c r="T13" s="11">
        <f>IF(預測IC!T13&gt;預測IC!T$26,1,0)</f>
        <v/>
      </c>
      <c r="U13" s="11">
        <f>IF(預測IC!U13&gt;預測IC!U$26,1,0)</f>
        <v/>
      </c>
      <c r="V13" s="11">
        <f>IF(預測IC!V13&gt;預測IC!V$26,1,0)</f>
        <v/>
      </c>
      <c r="W13" s="11">
        <f>IF(預測IC!W13&gt;預測IC!W$26,1,0)</f>
        <v/>
      </c>
      <c r="X13" s="11">
        <f>IF(預測IC!X13&gt;預測IC!X$26,1,0)</f>
        <v/>
      </c>
      <c r="Y13" s="11">
        <f>IF(預測IC!Y13&gt;預測IC!Y$26,1,0)</f>
        <v/>
      </c>
      <c r="Z13" s="11">
        <f>IF(預測IC!Z13&gt;預測IC!Z$26,1,0)</f>
        <v/>
      </c>
      <c r="AA13" s="11">
        <f>IF(預測IC!AA13&gt;預測IC!AA$26,1,0)</f>
        <v/>
      </c>
      <c r="AB13" s="11">
        <f>IF(預測IC!AB13&gt;預測IC!AB$26,1,0)</f>
        <v/>
      </c>
      <c r="AC13" s="11">
        <f>IF(預測IC!AC13&gt;預測IC!AC$26,1,0)</f>
        <v/>
      </c>
      <c r="AD13" s="11">
        <f>IF(預測IC!AD13&gt;預測IC!AD$26,1,0)</f>
        <v/>
      </c>
      <c r="AE13" s="11">
        <f>IF(預測IC!AE13&gt;預測IC!AE$26,1,0)</f>
        <v/>
      </c>
      <c r="AF13" s="11">
        <f>IF(預測IC!AF13&gt;預測IC!AF$26,1,0)</f>
        <v/>
      </c>
      <c r="AG13" s="11">
        <f>IF(預測IC!AG13&gt;預測IC!AG$26,1,0)</f>
        <v/>
      </c>
      <c r="AH13" s="11">
        <f>IF(預測IC!AH13&gt;預測IC!AH$26,1,0)</f>
        <v/>
      </c>
      <c r="AI13" s="11">
        <f>IF(預測IC!AI13&gt;預測IC!AI$26,1,0)</f>
        <v/>
      </c>
      <c r="AJ13" s="11">
        <f>IF(預測IC!AJ13&gt;預測IC!AJ$26,1,0)</f>
        <v/>
      </c>
      <c r="AK13" s="11">
        <f>IF(預測IC!AK13&gt;預測IC!AK$26,1,0)</f>
        <v/>
      </c>
      <c r="AL13" s="11">
        <f>IF(預測IC!AL13&gt;預測IC!AL$26,1,0)</f>
        <v/>
      </c>
      <c r="AM13" s="11">
        <f>IF(預測IC!AM13&gt;預測IC!AM$26,1,0)</f>
        <v/>
      </c>
      <c r="AN13" s="11">
        <f>IF(預測IC!AN13&gt;預測IC!AN$26,1,0)</f>
        <v/>
      </c>
      <c r="AO13" s="11">
        <f>IF(預測IC!AO13&gt;預測IC!AO$26,1,0)</f>
        <v/>
      </c>
      <c r="AP13" s="11">
        <f>IF(預測IC!AP13&gt;預測IC!AP$26,1,0)</f>
        <v/>
      </c>
      <c r="AQ13" s="11">
        <f>IF(預測IC!AQ13&gt;預測IC!AQ$26,1,0)</f>
        <v/>
      </c>
      <c r="AR13" s="11">
        <f>IF(預測IC!AR13&gt;預測IC!AR$26,1,0)</f>
        <v/>
      </c>
      <c r="AS13" s="11">
        <f>IF(預測IC!AS13&gt;預測IC!AS$26,1,0)</f>
        <v/>
      </c>
      <c r="AT13" s="11">
        <f>IF(預測IC!AT13&gt;預測IC!AT$26,1,0)</f>
        <v/>
      </c>
      <c r="AU13" s="11">
        <f>IF(預測IC!AU13&gt;預測IC!AU$26,1,0)</f>
        <v/>
      </c>
      <c r="AV13" s="11">
        <f>IF(預測IC!AV13&gt;預測IC!AV$26,1,0)</f>
        <v/>
      </c>
      <c r="AW13" s="11">
        <f>IF(預測IC!AW13&gt;預測IC!AW$26,1,0)</f>
        <v/>
      </c>
      <c r="AX13" s="11">
        <f>IF(預測IC!AX13&gt;預測IC!AX$26,1,0)</f>
        <v/>
      </c>
      <c r="AY13" s="11">
        <f>IF(預測IC!AY13&gt;預測IC!AY$26,1,0)</f>
        <v/>
      </c>
      <c r="AZ13" s="11">
        <f>IF(預測IC!AZ13&gt;預測IC!AZ$26,1,0)</f>
        <v/>
      </c>
      <c r="BA13" s="11">
        <f>IF(預測IC!BA13&gt;預測IC!BA$26,1,0)</f>
        <v/>
      </c>
      <c r="BB13" s="11">
        <f>IF(預測IC!BB13&gt;預測IC!BB$26,1,0)</f>
        <v/>
      </c>
      <c r="BC13" s="11">
        <f>IF(預測IC!BC13&gt;預測IC!BC$26,1,0)</f>
        <v/>
      </c>
      <c r="BD13" s="11">
        <f>IF(預測IC!BD13&gt;預測IC!BD$26,1,0)</f>
        <v/>
      </c>
      <c r="BE13" s="11">
        <f>IF(預測IC!BE13&gt;預測IC!BE$26,1,0)</f>
        <v/>
      </c>
      <c r="BF13" s="11">
        <f>IF(預測IC!BF13&gt;預測IC!BF$26,1,0)</f>
        <v/>
      </c>
      <c r="BG13" s="11">
        <f>IF(預測IC!BG13&gt;預測IC!BG$26,1,0)</f>
        <v/>
      </c>
      <c r="BH13" s="11">
        <f>IF(預測IC!BH13&gt;預測IC!BH$26,1,0)</f>
        <v/>
      </c>
      <c r="BI13" s="11">
        <f>IF(預測IC!BI13&gt;預測IC!BI$26,1,0)</f>
        <v/>
      </c>
      <c r="BJ13" s="11">
        <f>IF(預測IC!BJ13&gt;預測IC!BJ$26,1,0)</f>
        <v/>
      </c>
      <c r="BK13" s="11">
        <f>IF(預測IC!BK13&gt;預測IC!BK$26,1,0)</f>
        <v/>
      </c>
      <c r="BL13" s="11">
        <f>IF(預測IC!BL13&gt;預測IC!BL$26,1,0)</f>
        <v/>
      </c>
      <c r="BM13" s="11">
        <f>IF(預測IC!BM13&gt;預測IC!BM$26,1,0)</f>
        <v/>
      </c>
      <c r="BN13" s="11">
        <f>IF(預測IC!BN13&gt;預測IC!BN$26,1,0)</f>
        <v/>
      </c>
      <c r="BO13" s="11">
        <f>IF(預測IC!BO13&gt;預測IC!BO$26,1,0)</f>
        <v/>
      </c>
      <c r="BP13" s="11">
        <f>IF(預測IC!BP13&gt;預測IC!BP$26,1,0)</f>
        <v/>
      </c>
      <c r="BQ13" s="11">
        <f>IF(預測IC!BQ13&gt;預測IC!BQ$26,1,0)</f>
        <v/>
      </c>
      <c r="BR13" s="11">
        <f>IF(預測IC!BR13&gt;預測IC!BR$26,1,0)</f>
        <v/>
      </c>
      <c r="BS13" s="11">
        <f>IF(預測IC!BS13&gt;預測IC!BS$26,1,0)</f>
        <v/>
      </c>
      <c r="BT13" s="11">
        <f>IF(預測IC!BT13&gt;預測IC!BT$26,1,0)</f>
        <v/>
      </c>
      <c r="BU13" s="11">
        <f>IF(預測IC!BU13&gt;預測IC!BU$26,1,0)</f>
        <v/>
      </c>
      <c r="BV13" s="11">
        <f>IF(預測IC!BV13&gt;預測IC!BV$26,1,0)</f>
        <v/>
      </c>
      <c r="BW13" s="11">
        <f>IF(預測IC!BW13&gt;預測IC!BW$26,1,0)</f>
        <v/>
      </c>
      <c r="BX13" s="11">
        <f>IF(預測IC!BX13&gt;預測IC!BX$26,1,0)</f>
        <v/>
      </c>
      <c r="BY13" s="11">
        <f>IF(預測IC!BY13&gt;預測IC!BY$26,1,0)</f>
        <v/>
      </c>
      <c r="BZ13" s="11">
        <f>IF(預測IC!BZ13&gt;預測IC!BZ$26,1,0)</f>
        <v/>
      </c>
      <c r="CA13" s="11">
        <f>IF(預測IC!CA13&gt;預測IC!CA$26,1,0)</f>
        <v/>
      </c>
      <c r="CB13" s="11">
        <f>IF(預測IC!CB13&gt;預測IC!CB$26,1,0)</f>
        <v/>
      </c>
      <c r="CC13" s="11">
        <f>IF(預測IC!CC13&gt;預測IC!CC$26,1,0)</f>
        <v/>
      </c>
      <c r="CD13" s="11">
        <f>IF(預測IC!CD13&gt;預測IC!CD$26,1,0)</f>
        <v/>
      </c>
      <c r="CE13" s="11">
        <f>IF(預測IC!CE13&gt;預測IC!CE$26,1,0)</f>
        <v/>
      </c>
      <c r="CF13" s="11">
        <f>IF(預測IC!CF13&gt;預測IC!CF$26,1,0)</f>
        <v/>
      </c>
      <c r="CG13" s="11">
        <f>IF(預測IC!CG13&gt;預測IC!CG$26,1,0)</f>
        <v/>
      </c>
      <c r="CH13" s="11">
        <f>IF(預測IC!CH13&gt;預測IC!CH$26,1,0)</f>
        <v/>
      </c>
      <c r="CI13" s="11">
        <f>IF(預測IC!CI13&gt;預測IC!CI$26,1,0)</f>
        <v/>
      </c>
      <c r="CJ13" s="11">
        <f>IF(預測IC!CJ13&gt;預測IC!CJ$26,1,0)</f>
        <v/>
      </c>
      <c r="CK13" s="11">
        <f>IF(預測IC!CK13&gt;預測IC!CK$26,1,0)</f>
        <v/>
      </c>
      <c r="CL13" s="11">
        <f>IF(預測IC!CL13&gt;預測IC!CL$26,1,0)</f>
        <v/>
      </c>
      <c r="CM13" s="11">
        <f>IF(預測IC!CM13&gt;預測IC!CM$26,1,0)</f>
        <v/>
      </c>
      <c r="CN13" s="11">
        <f>IF(預測IC!CN13&gt;預測IC!CN$26,1,0)</f>
        <v/>
      </c>
      <c r="CO13" s="11">
        <f>IF(預測IC!CO13&gt;預測IC!CO$26,1,0)</f>
        <v/>
      </c>
      <c r="CP13" s="11">
        <f>IF(預測IC!CP13&gt;預測IC!CP$26,1,0)</f>
        <v/>
      </c>
      <c r="CQ13" s="11">
        <f>IF(預測IC!CQ13&gt;預測IC!CQ$26,1,0)</f>
        <v/>
      </c>
      <c r="CR13" s="11">
        <f>IF(預測IC!CR13&gt;預測IC!CR$26,1,0)</f>
        <v/>
      </c>
      <c r="CS13" s="11">
        <f>IF(預測IC!CS13&gt;預測IC!CS$26,1,0)</f>
        <v/>
      </c>
      <c r="CT13" s="11">
        <f>IF(預測IC!CT13&gt;預測IC!CT$26,1,0)</f>
        <v/>
      </c>
      <c r="CU13" s="11">
        <f>IF(預測IC!CU13&gt;預測IC!CU$26,1,0)</f>
        <v/>
      </c>
      <c r="CV13" s="11">
        <f>IF(預測IC!CV13&gt;預測IC!CV$26,1,0)</f>
        <v/>
      </c>
      <c r="CW13" s="11">
        <f>IF(預測IC!CW13&gt;預測IC!CW$26,1,0)</f>
        <v/>
      </c>
      <c r="CX13" s="11">
        <f>IF(預測IC!CX13&gt;預測IC!CX$26,1,0)</f>
        <v/>
      </c>
      <c r="CY13" s="11">
        <f>IF(預測IC!CY13&gt;預測IC!CY$26,1,0)</f>
        <v/>
      </c>
      <c r="CZ13" s="11">
        <f>IF(預測IC!CZ13&gt;預測IC!CZ$26,1,0)</f>
        <v/>
      </c>
      <c r="DA13" s="11">
        <f>IF(預測IC!DA13&gt;預測IC!DA$26,1,0)</f>
        <v/>
      </c>
      <c r="DB13" s="11">
        <f>IF(預測IC!DB13&gt;預測IC!DB$26,1,0)</f>
        <v/>
      </c>
      <c r="DC13" s="11">
        <f>IF(預測IC!DC13&gt;預測IC!DC$26,1,0)</f>
        <v/>
      </c>
      <c r="DD13" s="11">
        <f>IF(預測IC!DD13&gt;預測IC!DD$26,1,0)</f>
        <v/>
      </c>
      <c r="DE13" s="11">
        <f>IF(預測IC!DE13&gt;預測IC!DE$26,1,0)</f>
        <v/>
      </c>
      <c r="DF13" s="11">
        <f>IF(預測IC!DF13&gt;預測IC!DF$26,1,0)</f>
        <v/>
      </c>
      <c r="DG13" s="11">
        <f>IF(預測IC!DG13&gt;預測IC!DG$26,1,0)</f>
        <v/>
      </c>
      <c r="DH13" s="11">
        <f>IF(預測IC!DH13&gt;預測IC!DH$26,1,0)</f>
        <v/>
      </c>
      <c r="DI13" s="11">
        <f>IF(預測IC!DI13&gt;預測IC!DI$26,1,0)</f>
        <v/>
      </c>
      <c r="DJ13" s="11">
        <f>IF(預測IC!DJ13&gt;預測IC!DJ$26,1,0)</f>
        <v/>
      </c>
      <c r="DK13" s="11">
        <f>IF(預測IC!DK13&gt;預測IC!DK$26,1,0)</f>
        <v/>
      </c>
      <c r="DL13" s="11">
        <f>IF(預測IC!DL13&gt;預測IC!DL$26,1,0)</f>
        <v/>
      </c>
      <c r="DM13" s="11">
        <f>IF(預測IC!DM13&gt;預測IC!DM$26,1,0)</f>
        <v/>
      </c>
      <c r="DN13" s="11">
        <f>IF(預測IC!DN13&gt;預測IC!DN$26,1,0)</f>
        <v/>
      </c>
      <c r="DO13" s="11">
        <f>IF(預測IC!DO13&gt;預測IC!DO$26,1,0)</f>
        <v/>
      </c>
      <c r="DP13" s="11">
        <f>IF(預測IC!DP13&gt;預測IC!DP$26,1,0)</f>
        <v/>
      </c>
      <c r="DQ13" s="11">
        <f>IF(預測IC!DQ13&gt;預測IC!DQ$26,1,0)</f>
        <v/>
      </c>
      <c r="DR13" s="11">
        <f>IF(預測IC!DR13&gt;預測IC!DR$26,1,0)</f>
        <v/>
      </c>
      <c r="DS13" s="11">
        <f>IF(預測IC!DS13&gt;預測IC!DS$26,1,0)</f>
        <v/>
      </c>
      <c r="DT13" s="11">
        <f>IF(預測IC!DT13&gt;預測IC!DT$26,1,0)</f>
        <v/>
      </c>
      <c r="DU13" s="11">
        <f>IF(預測IC!DU13&gt;預測IC!DU$26,1,0)</f>
        <v/>
      </c>
      <c r="DV13" s="11">
        <f>IF(預測IC!DV13&gt;預測IC!DV$26,1,0)</f>
        <v/>
      </c>
      <c r="DW13" s="11">
        <f>IF(預測IC!DW13&gt;預測IC!DW$26,1,0)</f>
        <v/>
      </c>
      <c r="DX13" s="11">
        <f>IF(預測IC!DX13&gt;預測IC!DX$26,1,0)</f>
        <v/>
      </c>
      <c r="DY13" s="11">
        <f>IF(預測IC!DY13&gt;預測IC!DY$26,1,0)</f>
        <v/>
      </c>
      <c r="DZ13" s="11">
        <f>IF(預測IC!DZ13&gt;預測IC!DZ$26,1,0)</f>
        <v/>
      </c>
      <c r="EA13" s="11">
        <f>IF(預測IC!EA13&gt;預測IC!EA$26,1,0)</f>
        <v/>
      </c>
      <c r="EB13" s="11">
        <f>IF(預測IC!EB13&gt;預測IC!EB$26,1,0)</f>
        <v/>
      </c>
      <c r="EC13" s="11">
        <f>IF(預測IC!EC13&gt;預測IC!EC$26,1,0)</f>
        <v/>
      </c>
      <c r="ED13" s="11">
        <f>IF(預測IC!ED13&gt;預測IC!ED$26,1,0)</f>
        <v/>
      </c>
      <c r="EE13" s="11">
        <f>IF(預測IC!EE13&gt;預測IC!EE$26,1,0)</f>
        <v/>
      </c>
      <c r="EF13" s="11">
        <f>IF(預測IC!EF13&gt;預測IC!EF$26,1,0)</f>
        <v/>
      </c>
      <c r="EG13" s="22">
        <f>SUM(C13:EF13)</f>
        <v/>
      </c>
      <c r="EH13" s="21">
        <f>SUM(C13:EF13)/134</f>
        <v/>
      </c>
    </row>
    <row r="14" ht="16.2" customFormat="1" customHeight="1" s="8" thickBot="1">
      <c r="A14" s="50" t="n">
        <v>50</v>
      </c>
      <c r="B14" s="50" t="n">
        <v>19</v>
      </c>
      <c r="C14" s="11">
        <f>IF(預測IC!C14&gt;預測IC!C$26,1,0)</f>
        <v/>
      </c>
      <c r="D14" s="11">
        <f>IF(預測IC!D14&gt;預測IC!D$26,1,0)</f>
        <v/>
      </c>
      <c r="E14" s="11">
        <f>IF(預測IC!E14&gt;預測IC!E$26,1,0)</f>
        <v/>
      </c>
      <c r="F14" s="11">
        <f>IF(預測IC!F14&gt;預測IC!F$26,1,0)</f>
        <v/>
      </c>
      <c r="G14" s="11">
        <f>IF(預測IC!G14&gt;預測IC!G$26,1,0)</f>
        <v/>
      </c>
      <c r="H14" s="11">
        <f>IF(預測IC!H14&gt;預測IC!H$26,1,0)</f>
        <v/>
      </c>
      <c r="I14" s="11">
        <f>IF(預測IC!I14&gt;預測IC!I$26,1,0)</f>
        <v/>
      </c>
      <c r="J14" s="11">
        <f>IF(預測IC!J14&gt;預測IC!J$26,1,0)</f>
        <v/>
      </c>
      <c r="K14" s="11">
        <f>IF(預測IC!K14&gt;預測IC!K$26,1,0)</f>
        <v/>
      </c>
      <c r="L14" s="11">
        <f>IF(預測IC!L14&gt;預測IC!L$26,1,0)</f>
        <v/>
      </c>
      <c r="M14" s="11">
        <f>IF(預測IC!M14&gt;預測IC!M$26,1,0)</f>
        <v/>
      </c>
      <c r="N14" s="11">
        <f>IF(預測IC!N14&gt;預測IC!N$26,1,0)</f>
        <v/>
      </c>
      <c r="O14" s="11">
        <f>IF(預測IC!O14&gt;預測IC!O$26,1,0)</f>
        <v/>
      </c>
      <c r="P14" s="11">
        <f>IF(預測IC!P14&gt;預測IC!P$26,1,0)</f>
        <v/>
      </c>
      <c r="Q14" s="11">
        <f>IF(預測IC!Q14&gt;預測IC!Q$26,1,0)</f>
        <v/>
      </c>
      <c r="R14" s="11">
        <f>IF(預測IC!R14&gt;預測IC!R$26,1,0)</f>
        <v/>
      </c>
      <c r="S14" s="11">
        <f>IF(預測IC!S14&gt;預測IC!S$26,1,0)</f>
        <v/>
      </c>
      <c r="T14" s="11">
        <f>IF(預測IC!T14&gt;預測IC!T$26,1,0)</f>
        <v/>
      </c>
      <c r="U14" s="11">
        <f>IF(預測IC!U14&gt;預測IC!U$26,1,0)</f>
        <v/>
      </c>
      <c r="V14" s="11">
        <f>IF(預測IC!V14&gt;預測IC!V$26,1,0)</f>
        <v/>
      </c>
      <c r="W14" s="11">
        <f>IF(預測IC!W14&gt;預測IC!W$26,1,0)</f>
        <v/>
      </c>
      <c r="X14" s="11">
        <f>IF(預測IC!X14&gt;預測IC!X$26,1,0)</f>
        <v/>
      </c>
      <c r="Y14" s="11">
        <f>IF(預測IC!Y14&gt;預測IC!Y$26,1,0)</f>
        <v/>
      </c>
      <c r="Z14" s="11">
        <f>IF(預測IC!Z14&gt;預測IC!Z$26,1,0)</f>
        <v/>
      </c>
      <c r="AA14" s="11">
        <f>IF(預測IC!AA14&gt;預測IC!AA$26,1,0)</f>
        <v/>
      </c>
      <c r="AB14" s="11">
        <f>IF(預測IC!AB14&gt;預測IC!AB$26,1,0)</f>
        <v/>
      </c>
      <c r="AC14" s="11">
        <f>IF(預測IC!AC14&gt;預測IC!AC$26,1,0)</f>
        <v/>
      </c>
      <c r="AD14" s="11">
        <f>IF(預測IC!AD14&gt;預測IC!AD$26,1,0)</f>
        <v/>
      </c>
      <c r="AE14" s="11">
        <f>IF(預測IC!AE14&gt;預測IC!AE$26,1,0)</f>
        <v/>
      </c>
      <c r="AF14" s="11">
        <f>IF(預測IC!AF14&gt;預測IC!AF$26,1,0)</f>
        <v/>
      </c>
      <c r="AG14" s="11">
        <f>IF(預測IC!AG14&gt;預測IC!AG$26,1,0)</f>
        <v/>
      </c>
      <c r="AH14" s="11">
        <f>IF(預測IC!AH14&gt;預測IC!AH$26,1,0)</f>
        <v/>
      </c>
      <c r="AI14" s="11">
        <f>IF(預測IC!AI14&gt;預測IC!AI$26,1,0)</f>
        <v/>
      </c>
      <c r="AJ14" s="11">
        <f>IF(預測IC!AJ14&gt;預測IC!AJ$26,1,0)</f>
        <v/>
      </c>
      <c r="AK14" s="11">
        <f>IF(預測IC!AK14&gt;預測IC!AK$26,1,0)</f>
        <v/>
      </c>
      <c r="AL14" s="11">
        <f>IF(預測IC!AL14&gt;預測IC!AL$26,1,0)</f>
        <v/>
      </c>
      <c r="AM14" s="11">
        <f>IF(預測IC!AM14&gt;預測IC!AM$26,1,0)</f>
        <v/>
      </c>
      <c r="AN14" s="11">
        <f>IF(預測IC!AN14&gt;預測IC!AN$26,1,0)</f>
        <v/>
      </c>
      <c r="AO14" s="11">
        <f>IF(預測IC!AO14&gt;預測IC!AO$26,1,0)</f>
        <v/>
      </c>
      <c r="AP14" s="11">
        <f>IF(預測IC!AP14&gt;預測IC!AP$26,1,0)</f>
        <v/>
      </c>
      <c r="AQ14" s="11">
        <f>IF(預測IC!AQ14&gt;預測IC!AQ$26,1,0)</f>
        <v/>
      </c>
      <c r="AR14" s="11">
        <f>IF(預測IC!AR14&gt;預測IC!AR$26,1,0)</f>
        <v/>
      </c>
      <c r="AS14" s="11">
        <f>IF(預測IC!AS14&gt;預測IC!AS$26,1,0)</f>
        <v/>
      </c>
      <c r="AT14" s="11">
        <f>IF(預測IC!AT14&gt;預測IC!AT$26,1,0)</f>
        <v/>
      </c>
      <c r="AU14" s="11">
        <f>IF(預測IC!AU14&gt;預測IC!AU$26,1,0)</f>
        <v/>
      </c>
      <c r="AV14" s="11">
        <f>IF(預測IC!AV14&gt;預測IC!AV$26,1,0)</f>
        <v/>
      </c>
      <c r="AW14" s="11">
        <f>IF(預測IC!AW14&gt;預測IC!AW$26,1,0)</f>
        <v/>
      </c>
      <c r="AX14" s="11">
        <f>IF(預測IC!AX14&gt;預測IC!AX$26,1,0)</f>
        <v/>
      </c>
      <c r="AY14" s="11">
        <f>IF(預測IC!AY14&gt;預測IC!AY$26,1,0)</f>
        <v/>
      </c>
      <c r="AZ14" s="11">
        <f>IF(預測IC!AZ14&gt;預測IC!AZ$26,1,0)</f>
        <v/>
      </c>
      <c r="BA14" s="11">
        <f>IF(預測IC!BA14&gt;預測IC!BA$26,1,0)</f>
        <v/>
      </c>
      <c r="BB14" s="11">
        <f>IF(預測IC!BB14&gt;預測IC!BB$26,1,0)</f>
        <v/>
      </c>
      <c r="BC14" s="11">
        <f>IF(預測IC!BC14&gt;預測IC!BC$26,1,0)</f>
        <v/>
      </c>
      <c r="BD14" s="11">
        <f>IF(預測IC!BD14&gt;預測IC!BD$26,1,0)</f>
        <v/>
      </c>
      <c r="BE14" s="11">
        <f>IF(預測IC!BE14&gt;預測IC!BE$26,1,0)</f>
        <v/>
      </c>
      <c r="BF14" s="11">
        <f>IF(預測IC!BF14&gt;預測IC!BF$26,1,0)</f>
        <v/>
      </c>
      <c r="BG14" s="11">
        <f>IF(預測IC!BG14&gt;預測IC!BG$26,1,0)</f>
        <v/>
      </c>
      <c r="BH14" s="11">
        <f>IF(預測IC!BH14&gt;預測IC!BH$26,1,0)</f>
        <v/>
      </c>
      <c r="BI14" s="11">
        <f>IF(預測IC!BI14&gt;預測IC!BI$26,1,0)</f>
        <v/>
      </c>
      <c r="BJ14" s="11">
        <f>IF(預測IC!BJ14&gt;預測IC!BJ$26,1,0)</f>
        <v/>
      </c>
      <c r="BK14" s="11">
        <f>IF(預測IC!BK14&gt;預測IC!BK$26,1,0)</f>
        <v/>
      </c>
      <c r="BL14" s="11">
        <f>IF(預測IC!BL14&gt;預測IC!BL$26,1,0)</f>
        <v/>
      </c>
      <c r="BM14" s="11">
        <f>IF(預測IC!BM14&gt;預測IC!BM$26,1,0)</f>
        <v/>
      </c>
      <c r="BN14" s="11">
        <f>IF(預測IC!BN14&gt;預測IC!BN$26,1,0)</f>
        <v/>
      </c>
      <c r="BO14" s="11">
        <f>IF(預測IC!BO14&gt;預測IC!BO$26,1,0)</f>
        <v/>
      </c>
      <c r="BP14" s="11">
        <f>IF(預測IC!BP14&gt;預測IC!BP$26,1,0)</f>
        <v/>
      </c>
      <c r="BQ14" s="11">
        <f>IF(預測IC!BQ14&gt;預測IC!BQ$26,1,0)</f>
        <v/>
      </c>
      <c r="BR14" s="11">
        <f>IF(預測IC!BR14&gt;預測IC!BR$26,1,0)</f>
        <v/>
      </c>
      <c r="BS14" s="11">
        <f>IF(預測IC!BS14&gt;預測IC!BS$26,1,0)</f>
        <v/>
      </c>
      <c r="BT14" s="11">
        <f>IF(預測IC!BT14&gt;預測IC!BT$26,1,0)</f>
        <v/>
      </c>
      <c r="BU14" s="11">
        <f>IF(預測IC!BU14&gt;預測IC!BU$26,1,0)</f>
        <v/>
      </c>
      <c r="BV14" s="11">
        <f>IF(預測IC!BV14&gt;預測IC!BV$26,1,0)</f>
        <v/>
      </c>
      <c r="BW14" s="11">
        <f>IF(預測IC!BW14&gt;預測IC!BW$26,1,0)</f>
        <v/>
      </c>
      <c r="BX14" s="11">
        <f>IF(預測IC!BX14&gt;預測IC!BX$26,1,0)</f>
        <v/>
      </c>
      <c r="BY14" s="11">
        <f>IF(預測IC!BY14&gt;預測IC!BY$26,1,0)</f>
        <v/>
      </c>
      <c r="BZ14" s="11">
        <f>IF(預測IC!BZ14&gt;預測IC!BZ$26,1,0)</f>
        <v/>
      </c>
      <c r="CA14" s="11">
        <f>IF(預測IC!CA14&gt;預測IC!CA$26,1,0)</f>
        <v/>
      </c>
      <c r="CB14" s="11">
        <f>IF(預測IC!CB14&gt;預測IC!CB$26,1,0)</f>
        <v/>
      </c>
      <c r="CC14" s="11">
        <f>IF(預測IC!CC14&gt;預測IC!CC$26,1,0)</f>
        <v/>
      </c>
      <c r="CD14" s="11">
        <f>IF(預測IC!CD14&gt;預測IC!CD$26,1,0)</f>
        <v/>
      </c>
      <c r="CE14" s="11">
        <f>IF(預測IC!CE14&gt;預測IC!CE$26,1,0)</f>
        <v/>
      </c>
      <c r="CF14" s="11">
        <f>IF(預測IC!CF14&gt;預測IC!CF$26,1,0)</f>
        <v/>
      </c>
      <c r="CG14" s="11">
        <f>IF(預測IC!CG14&gt;預測IC!CG$26,1,0)</f>
        <v/>
      </c>
      <c r="CH14" s="11">
        <f>IF(預測IC!CH14&gt;預測IC!CH$26,1,0)</f>
        <v/>
      </c>
      <c r="CI14" s="11">
        <f>IF(預測IC!CI14&gt;預測IC!CI$26,1,0)</f>
        <v/>
      </c>
      <c r="CJ14" s="11">
        <f>IF(預測IC!CJ14&gt;預測IC!CJ$26,1,0)</f>
        <v/>
      </c>
      <c r="CK14" s="11">
        <f>IF(預測IC!CK14&gt;預測IC!CK$26,1,0)</f>
        <v/>
      </c>
      <c r="CL14" s="11">
        <f>IF(預測IC!CL14&gt;預測IC!CL$26,1,0)</f>
        <v/>
      </c>
      <c r="CM14" s="11">
        <f>IF(預測IC!CM14&gt;預測IC!CM$26,1,0)</f>
        <v/>
      </c>
      <c r="CN14" s="11">
        <f>IF(預測IC!CN14&gt;預測IC!CN$26,1,0)</f>
        <v/>
      </c>
      <c r="CO14" s="11">
        <f>IF(預測IC!CO14&gt;預測IC!CO$26,1,0)</f>
        <v/>
      </c>
      <c r="CP14" s="11">
        <f>IF(預測IC!CP14&gt;預測IC!CP$26,1,0)</f>
        <v/>
      </c>
      <c r="CQ14" s="11">
        <f>IF(預測IC!CQ14&gt;預測IC!CQ$26,1,0)</f>
        <v/>
      </c>
      <c r="CR14" s="11">
        <f>IF(預測IC!CR14&gt;預測IC!CR$26,1,0)</f>
        <v/>
      </c>
      <c r="CS14" s="11">
        <f>IF(預測IC!CS14&gt;預測IC!CS$26,1,0)</f>
        <v/>
      </c>
      <c r="CT14" s="11">
        <f>IF(預測IC!CT14&gt;預測IC!CT$26,1,0)</f>
        <v/>
      </c>
      <c r="CU14" s="11">
        <f>IF(預測IC!CU14&gt;預測IC!CU$26,1,0)</f>
        <v/>
      </c>
      <c r="CV14" s="11">
        <f>IF(預測IC!CV14&gt;預測IC!CV$26,1,0)</f>
        <v/>
      </c>
      <c r="CW14" s="11">
        <f>IF(預測IC!CW14&gt;預測IC!CW$26,1,0)</f>
        <v/>
      </c>
      <c r="CX14" s="11">
        <f>IF(預測IC!CX14&gt;預測IC!CX$26,1,0)</f>
        <v/>
      </c>
      <c r="CY14" s="11">
        <f>IF(預測IC!CY14&gt;預測IC!CY$26,1,0)</f>
        <v/>
      </c>
      <c r="CZ14" s="11">
        <f>IF(預測IC!CZ14&gt;預測IC!CZ$26,1,0)</f>
        <v/>
      </c>
      <c r="DA14" s="11">
        <f>IF(預測IC!DA14&gt;預測IC!DA$26,1,0)</f>
        <v/>
      </c>
      <c r="DB14" s="11">
        <f>IF(預測IC!DB14&gt;預測IC!DB$26,1,0)</f>
        <v/>
      </c>
      <c r="DC14" s="11">
        <f>IF(預測IC!DC14&gt;預測IC!DC$26,1,0)</f>
        <v/>
      </c>
      <c r="DD14" s="11">
        <f>IF(預測IC!DD14&gt;預測IC!DD$26,1,0)</f>
        <v/>
      </c>
      <c r="DE14" s="11">
        <f>IF(預測IC!DE14&gt;預測IC!DE$26,1,0)</f>
        <v/>
      </c>
      <c r="DF14" s="11">
        <f>IF(預測IC!DF14&gt;預測IC!DF$26,1,0)</f>
        <v/>
      </c>
      <c r="DG14" s="11">
        <f>IF(預測IC!DG14&gt;預測IC!DG$26,1,0)</f>
        <v/>
      </c>
      <c r="DH14" s="11">
        <f>IF(預測IC!DH14&gt;預測IC!DH$26,1,0)</f>
        <v/>
      </c>
      <c r="DI14" s="11">
        <f>IF(預測IC!DI14&gt;預測IC!DI$26,1,0)</f>
        <v/>
      </c>
      <c r="DJ14" s="11">
        <f>IF(預測IC!DJ14&gt;預測IC!DJ$26,1,0)</f>
        <v/>
      </c>
      <c r="DK14" s="11">
        <f>IF(預測IC!DK14&gt;預測IC!DK$26,1,0)</f>
        <v/>
      </c>
      <c r="DL14" s="11">
        <f>IF(預測IC!DL14&gt;預測IC!DL$26,1,0)</f>
        <v/>
      </c>
      <c r="DM14" s="11">
        <f>IF(預測IC!DM14&gt;預測IC!DM$26,1,0)</f>
        <v/>
      </c>
      <c r="DN14" s="11">
        <f>IF(預測IC!DN14&gt;預測IC!DN$26,1,0)</f>
        <v/>
      </c>
      <c r="DO14" s="11">
        <f>IF(預測IC!DO14&gt;預測IC!DO$26,1,0)</f>
        <v/>
      </c>
      <c r="DP14" s="11">
        <f>IF(預測IC!DP14&gt;預測IC!DP$26,1,0)</f>
        <v/>
      </c>
      <c r="DQ14" s="11">
        <f>IF(預測IC!DQ14&gt;預測IC!DQ$26,1,0)</f>
        <v/>
      </c>
      <c r="DR14" s="11">
        <f>IF(預測IC!DR14&gt;預測IC!DR$26,1,0)</f>
        <v/>
      </c>
      <c r="DS14" s="11">
        <f>IF(預測IC!DS14&gt;預測IC!DS$26,1,0)</f>
        <v/>
      </c>
      <c r="DT14" s="11">
        <f>IF(預測IC!DT14&gt;預測IC!DT$26,1,0)</f>
        <v/>
      </c>
      <c r="DU14" s="11">
        <f>IF(預測IC!DU14&gt;預測IC!DU$26,1,0)</f>
        <v/>
      </c>
      <c r="DV14" s="11">
        <f>IF(預測IC!DV14&gt;預測IC!DV$26,1,0)</f>
        <v/>
      </c>
      <c r="DW14" s="11">
        <f>IF(預測IC!DW14&gt;預測IC!DW$26,1,0)</f>
        <v/>
      </c>
      <c r="DX14" s="11">
        <f>IF(預測IC!DX14&gt;預測IC!DX$26,1,0)</f>
        <v/>
      </c>
      <c r="DY14" s="11">
        <f>IF(預測IC!DY14&gt;預測IC!DY$26,1,0)</f>
        <v/>
      </c>
      <c r="DZ14" s="11">
        <f>IF(預測IC!DZ14&gt;預測IC!DZ$26,1,0)</f>
        <v/>
      </c>
      <c r="EA14" s="11">
        <f>IF(預測IC!EA14&gt;預測IC!EA$26,1,0)</f>
        <v/>
      </c>
      <c r="EB14" s="11">
        <f>IF(預測IC!EB14&gt;預測IC!EB$26,1,0)</f>
        <v/>
      </c>
      <c r="EC14" s="11">
        <f>IF(預測IC!EC14&gt;預測IC!EC$26,1,0)</f>
        <v/>
      </c>
      <c r="ED14" s="11">
        <f>IF(預測IC!ED14&gt;預測IC!ED$26,1,0)</f>
        <v/>
      </c>
      <c r="EE14" s="11">
        <f>IF(預測IC!EE14&gt;預測IC!EE$26,1,0)</f>
        <v/>
      </c>
      <c r="EF14" s="11">
        <f>IF(預測IC!EF14&gt;預測IC!EF$26,1,0)</f>
        <v/>
      </c>
      <c r="EG14" s="23">
        <f>SUM(C14:EF14)</f>
        <v/>
      </c>
      <c r="EH14" s="26">
        <f>SUM(C14:EF14)/134</f>
        <v/>
      </c>
      <c r="EI14" s="22" t="n"/>
    </row>
    <row r="15" ht="16.2" customFormat="1" customHeight="1" s="8" thickBot="1">
      <c r="A15" s="50" t="n">
        <v>100</v>
      </c>
      <c r="B15" s="50" t="n">
        <v>10</v>
      </c>
      <c r="C15" s="11">
        <f>IF(預測IC!C15&gt;預測IC!C$26,1,0)</f>
        <v/>
      </c>
      <c r="D15" s="11">
        <f>IF(預測IC!D15&gt;預測IC!D$26,1,0)</f>
        <v/>
      </c>
      <c r="E15" s="11">
        <f>IF(預測IC!E15&gt;預測IC!E$26,1,0)</f>
        <v/>
      </c>
      <c r="F15" s="11">
        <f>IF(預測IC!F15&gt;預測IC!F$26,1,0)</f>
        <v/>
      </c>
      <c r="G15" s="11">
        <f>IF(預測IC!G15&gt;預測IC!G$26,1,0)</f>
        <v/>
      </c>
      <c r="H15" s="11">
        <f>IF(預測IC!H15&gt;預測IC!H$26,1,0)</f>
        <v/>
      </c>
      <c r="I15" s="11">
        <f>IF(預測IC!I15&gt;預測IC!I$26,1,0)</f>
        <v/>
      </c>
      <c r="J15" s="11">
        <f>IF(預測IC!J15&gt;預測IC!J$26,1,0)</f>
        <v/>
      </c>
      <c r="K15" s="11">
        <f>IF(預測IC!K15&gt;預測IC!K$26,1,0)</f>
        <v/>
      </c>
      <c r="L15" s="11">
        <f>IF(預測IC!L15&gt;預測IC!L$26,1,0)</f>
        <v/>
      </c>
      <c r="M15" s="11">
        <f>IF(預測IC!M15&gt;預測IC!M$26,1,0)</f>
        <v/>
      </c>
      <c r="N15" s="11">
        <f>IF(預測IC!N15&gt;預測IC!N$26,1,0)</f>
        <v/>
      </c>
      <c r="O15" s="11">
        <f>IF(預測IC!O15&gt;預測IC!O$26,1,0)</f>
        <v/>
      </c>
      <c r="P15" s="11">
        <f>IF(預測IC!P15&gt;預測IC!P$26,1,0)</f>
        <v/>
      </c>
      <c r="Q15" s="11">
        <f>IF(預測IC!Q15&gt;預測IC!Q$26,1,0)</f>
        <v/>
      </c>
      <c r="R15" s="11">
        <f>IF(預測IC!R15&gt;預測IC!R$26,1,0)</f>
        <v/>
      </c>
      <c r="S15" s="11">
        <f>IF(預測IC!S15&gt;預測IC!S$26,1,0)</f>
        <v/>
      </c>
      <c r="T15" s="11">
        <f>IF(預測IC!T15&gt;預測IC!T$26,1,0)</f>
        <v/>
      </c>
      <c r="U15" s="11">
        <f>IF(預測IC!U15&gt;預測IC!U$26,1,0)</f>
        <v/>
      </c>
      <c r="V15" s="11">
        <f>IF(預測IC!V15&gt;預測IC!V$26,1,0)</f>
        <v/>
      </c>
      <c r="W15" s="11">
        <f>IF(預測IC!W15&gt;預測IC!W$26,1,0)</f>
        <v/>
      </c>
      <c r="X15" s="11">
        <f>IF(預測IC!X15&gt;預測IC!X$26,1,0)</f>
        <v/>
      </c>
      <c r="Y15" s="11">
        <f>IF(預測IC!Y15&gt;預測IC!Y$26,1,0)</f>
        <v/>
      </c>
      <c r="Z15" s="11">
        <f>IF(預測IC!Z15&gt;預測IC!Z$26,1,0)</f>
        <v/>
      </c>
      <c r="AA15" s="11">
        <f>IF(預測IC!AA15&gt;預測IC!AA$26,1,0)</f>
        <v/>
      </c>
      <c r="AB15" s="11">
        <f>IF(預測IC!AB15&gt;預測IC!AB$26,1,0)</f>
        <v/>
      </c>
      <c r="AC15" s="11">
        <f>IF(預測IC!AC15&gt;預測IC!AC$26,1,0)</f>
        <v/>
      </c>
      <c r="AD15" s="11">
        <f>IF(預測IC!AD15&gt;預測IC!AD$26,1,0)</f>
        <v/>
      </c>
      <c r="AE15" s="11">
        <f>IF(預測IC!AE15&gt;預測IC!AE$26,1,0)</f>
        <v/>
      </c>
      <c r="AF15" s="11">
        <f>IF(預測IC!AF15&gt;預測IC!AF$26,1,0)</f>
        <v/>
      </c>
      <c r="AG15" s="11">
        <f>IF(預測IC!AG15&gt;預測IC!AG$26,1,0)</f>
        <v/>
      </c>
      <c r="AH15" s="11">
        <f>IF(預測IC!AH15&gt;預測IC!AH$26,1,0)</f>
        <v/>
      </c>
      <c r="AI15" s="11">
        <f>IF(預測IC!AI15&gt;預測IC!AI$26,1,0)</f>
        <v/>
      </c>
      <c r="AJ15" s="11">
        <f>IF(預測IC!AJ15&gt;預測IC!AJ$26,1,0)</f>
        <v/>
      </c>
      <c r="AK15" s="11">
        <f>IF(預測IC!AK15&gt;預測IC!AK$26,1,0)</f>
        <v/>
      </c>
      <c r="AL15" s="11">
        <f>IF(預測IC!AL15&gt;預測IC!AL$26,1,0)</f>
        <v/>
      </c>
      <c r="AM15" s="11">
        <f>IF(預測IC!AM15&gt;預測IC!AM$26,1,0)</f>
        <v/>
      </c>
      <c r="AN15" s="11">
        <f>IF(預測IC!AN15&gt;預測IC!AN$26,1,0)</f>
        <v/>
      </c>
      <c r="AO15" s="11">
        <f>IF(預測IC!AO15&gt;預測IC!AO$26,1,0)</f>
        <v/>
      </c>
      <c r="AP15" s="11">
        <f>IF(預測IC!AP15&gt;預測IC!AP$26,1,0)</f>
        <v/>
      </c>
      <c r="AQ15" s="11">
        <f>IF(預測IC!AQ15&gt;預測IC!AQ$26,1,0)</f>
        <v/>
      </c>
      <c r="AR15" s="11">
        <f>IF(預測IC!AR15&gt;預測IC!AR$26,1,0)</f>
        <v/>
      </c>
      <c r="AS15" s="11">
        <f>IF(預測IC!AS15&gt;預測IC!AS$26,1,0)</f>
        <v/>
      </c>
      <c r="AT15" s="11">
        <f>IF(預測IC!AT15&gt;預測IC!AT$26,1,0)</f>
        <v/>
      </c>
      <c r="AU15" s="11">
        <f>IF(預測IC!AU15&gt;預測IC!AU$26,1,0)</f>
        <v/>
      </c>
      <c r="AV15" s="11">
        <f>IF(預測IC!AV15&gt;預測IC!AV$26,1,0)</f>
        <v/>
      </c>
      <c r="AW15" s="11">
        <f>IF(預測IC!AW15&gt;預測IC!AW$26,1,0)</f>
        <v/>
      </c>
      <c r="AX15" s="11">
        <f>IF(預測IC!AX15&gt;預測IC!AX$26,1,0)</f>
        <v/>
      </c>
      <c r="AY15" s="11">
        <f>IF(預測IC!AY15&gt;預測IC!AY$26,1,0)</f>
        <v/>
      </c>
      <c r="AZ15" s="11">
        <f>IF(預測IC!AZ15&gt;預測IC!AZ$26,1,0)</f>
        <v/>
      </c>
      <c r="BA15" s="11">
        <f>IF(預測IC!BA15&gt;預測IC!BA$26,1,0)</f>
        <v/>
      </c>
      <c r="BB15" s="11">
        <f>IF(預測IC!BB15&gt;預測IC!BB$26,1,0)</f>
        <v/>
      </c>
      <c r="BC15" s="11">
        <f>IF(預測IC!BC15&gt;預測IC!BC$26,1,0)</f>
        <v/>
      </c>
      <c r="BD15" s="11">
        <f>IF(預測IC!BD15&gt;預測IC!BD$26,1,0)</f>
        <v/>
      </c>
      <c r="BE15" s="11">
        <f>IF(預測IC!BE15&gt;預測IC!BE$26,1,0)</f>
        <v/>
      </c>
      <c r="BF15" s="11">
        <f>IF(預測IC!BF15&gt;預測IC!BF$26,1,0)</f>
        <v/>
      </c>
      <c r="BG15" s="11">
        <f>IF(預測IC!BG15&gt;預測IC!BG$26,1,0)</f>
        <v/>
      </c>
      <c r="BH15" s="11">
        <f>IF(預測IC!BH15&gt;預測IC!BH$26,1,0)</f>
        <v/>
      </c>
      <c r="BI15" s="11">
        <f>IF(預測IC!BI15&gt;預測IC!BI$26,1,0)</f>
        <v/>
      </c>
      <c r="BJ15" s="11">
        <f>IF(預測IC!BJ15&gt;預測IC!BJ$26,1,0)</f>
        <v/>
      </c>
      <c r="BK15" s="11">
        <f>IF(預測IC!BK15&gt;預測IC!BK$26,1,0)</f>
        <v/>
      </c>
      <c r="BL15" s="11">
        <f>IF(預測IC!BL15&gt;預測IC!BL$26,1,0)</f>
        <v/>
      </c>
      <c r="BM15" s="11">
        <f>IF(預測IC!BM15&gt;預測IC!BM$26,1,0)</f>
        <v/>
      </c>
      <c r="BN15" s="11">
        <f>IF(預測IC!BN15&gt;預測IC!BN$26,1,0)</f>
        <v/>
      </c>
      <c r="BO15" s="11">
        <f>IF(預測IC!BO15&gt;預測IC!BO$26,1,0)</f>
        <v/>
      </c>
      <c r="BP15" s="11">
        <f>IF(預測IC!BP15&gt;預測IC!BP$26,1,0)</f>
        <v/>
      </c>
      <c r="BQ15" s="11">
        <f>IF(預測IC!BQ15&gt;預測IC!BQ$26,1,0)</f>
        <v/>
      </c>
      <c r="BR15" s="11">
        <f>IF(預測IC!BR15&gt;預測IC!BR$26,1,0)</f>
        <v/>
      </c>
      <c r="BS15" s="11">
        <f>IF(預測IC!BS15&gt;預測IC!BS$26,1,0)</f>
        <v/>
      </c>
      <c r="BT15" s="11">
        <f>IF(預測IC!BT15&gt;預測IC!BT$26,1,0)</f>
        <v/>
      </c>
      <c r="BU15" s="11">
        <f>IF(預測IC!BU15&gt;預測IC!BU$26,1,0)</f>
        <v/>
      </c>
      <c r="BV15" s="11">
        <f>IF(預測IC!BV15&gt;預測IC!BV$26,1,0)</f>
        <v/>
      </c>
      <c r="BW15" s="11">
        <f>IF(預測IC!BW15&gt;預測IC!BW$26,1,0)</f>
        <v/>
      </c>
      <c r="BX15" s="11">
        <f>IF(預測IC!BX15&gt;預測IC!BX$26,1,0)</f>
        <v/>
      </c>
      <c r="BY15" s="11">
        <f>IF(預測IC!BY15&gt;預測IC!BY$26,1,0)</f>
        <v/>
      </c>
      <c r="BZ15" s="11">
        <f>IF(預測IC!BZ15&gt;預測IC!BZ$26,1,0)</f>
        <v/>
      </c>
      <c r="CA15" s="11">
        <f>IF(預測IC!CA15&gt;預測IC!CA$26,1,0)</f>
        <v/>
      </c>
      <c r="CB15" s="11">
        <f>IF(預測IC!CB15&gt;預測IC!CB$26,1,0)</f>
        <v/>
      </c>
      <c r="CC15" s="11">
        <f>IF(預測IC!CC15&gt;預測IC!CC$26,1,0)</f>
        <v/>
      </c>
      <c r="CD15" s="11">
        <f>IF(預測IC!CD15&gt;預測IC!CD$26,1,0)</f>
        <v/>
      </c>
      <c r="CE15" s="11">
        <f>IF(預測IC!CE15&gt;預測IC!CE$26,1,0)</f>
        <v/>
      </c>
      <c r="CF15" s="11">
        <f>IF(預測IC!CF15&gt;預測IC!CF$26,1,0)</f>
        <v/>
      </c>
      <c r="CG15" s="11">
        <f>IF(預測IC!CG15&gt;預測IC!CG$26,1,0)</f>
        <v/>
      </c>
      <c r="CH15" s="11">
        <f>IF(預測IC!CH15&gt;預測IC!CH$26,1,0)</f>
        <v/>
      </c>
      <c r="CI15" s="11">
        <f>IF(預測IC!CI15&gt;預測IC!CI$26,1,0)</f>
        <v/>
      </c>
      <c r="CJ15" s="11">
        <f>IF(預測IC!CJ15&gt;預測IC!CJ$26,1,0)</f>
        <v/>
      </c>
      <c r="CK15" s="11">
        <f>IF(預測IC!CK15&gt;預測IC!CK$26,1,0)</f>
        <v/>
      </c>
      <c r="CL15" s="11">
        <f>IF(預測IC!CL15&gt;預測IC!CL$26,1,0)</f>
        <v/>
      </c>
      <c r="CM15" s="11">
        <f>IF(預測IC!CM15&gt;預測IC!CM$26,1,0)</f>
        <v/>
      </c>
      <c r="CN15" s="11">
        <f>IF(預測IC!CN15&gt;預測IC!CN$26,1,0)</f>
        <v/>
      </c>
      <c r="CO15" s="11">
        <f>IF(預測IC!CO15&gt;預測IC!CO$26,1,0)</f>
        <v/>
      </c>
      <c r="CP15" s="11">
        <f>IF(預測IC!CP15&gt;預測IC!CP$26,1,0)</f>
        <v/>
      </c>
      <c r="CQ15" s="11">
        <f>IF(預測IC!CQ15&gt;預測IC!CQ$26,1,0)</f>
        <v/>
      </c>
      <c r="CR15" s="11">
        <f>IF(預測IC!CR15&gt;預測IC!CR$26,1,0)</f>
        <v/>
      </c>
      <c r="CS15" s="11">
        <f>IF(預測IC!CS15&gt;預測IC!CS$26,1,0)</f>
        <v/>
      </c>
      <c r="CT15" s="11">
        <f>IF(預測IC!CT15&gt;預測IC!CT$26,1,0)</f>
        <v/>
      </c>
      <c r="CU15" s="11">
        <f>IF(預測IC!CU15&gt;預測IC!CU$26,1,0)</f>
        <v/>
      </c>
      <c r="CV15" s="11">
        <f>IF(預測IC!CV15&gt;預測IC!CV$26,1,0)</f>
        <v/>
      </c>
      <c r="CW15" s="11">
        <f>IF(預測IC!CW15&gt;預測IC!CW$26,1,0)</f>
        <v/>
      </c>
      <c r="CX15" s="11">
        <f>IF(預測IC!CX15&gt;預測IC!CX$26,1,0)</f>
        <v/>
      </c>
      <c r="CY15" s="11">
        <f>IF(預測IC!CY15&gt;預測IC!CY$26,1,0)</f>
        <v/>
      </c>
      <c r="CZ15" s="11">
        <f>IF(預測IC!CZ15&gt;預測IC!CZ$26,1,0)</f>
        <v/>
      </c>
      <c r="DA15" s="11">
        <f>IF(預測IC!DA15&gt;預測IC!DA$26,1,0)</f>
        <v/>
      </c>
      <c r="DB15" s="11">
        <f>IF(預測IC!DB15&gt;預測IC!DB$26,1,0)</f>
        <v/>
      </c>
      <c r="DC15" s="11">
        <f>IF(預測IC!DC15&gt;預測IC!DC$26,1,0)</f>
        <v/>
      </c>
      <c r="DD15" s="11">
        <f>IF(預測IC!DD15&gt;預測IC!DD$26,1,0)</f>
        <v/>
      </c>
      <c r="DE15" s="11">
        <f>IF(預測IC!DE15&gt;預測IC!DE$26,1,0)</f>
        <v/>
      </c>
      <c r="DF15" s="11">
        <f>IF(預測IC!DF15&gt;預測IC!DF$26,1,0)</f>
        <v/>
      </c>
      <c r="DG15" s="11">
        <f>IF(預測IC!DG15&gt;預測IC!DG$26,1,0)</f>
        <v/>
      </c>
      <c r="DH15" s="11">
        <f>IF(預測IC!DH15&gt;預測IC!DH$26,1,0)</f>
        <v/>
      </c>
      <c r="DI15" s="11">
        <f>IF(預測IC!DI15&gt;預測IC!DI$26,1,0)</f>
        <v/>
      </c>
      <c r="DJ15" s="11">
        <f>IF(預測IC!DJ15&gt;預測IC!DJ$26,1,0)</f>
        <v/>
      </c>
      <c r="DK15" s="11">
        <f>IF(預測IC!DK15&gt;預測IC!DK$26,1,0)</f>
        <v/>
      </c>
      <c r="DL15" s="11">
        <f>IF(預測IC!DL15&gt;預測IC!DL$26,1,0)</f>
        <v/>
      </c>
      <c r="DM15" s="11">
        <f>IF(預測IC!DM15&gt;預測IC!DM$26,1,0)</f>
        <v/>
      </c>
      <c r="DN15" s="11">
        <f>IF(預測IC!DN15&gt;預測IC!DN$26,1,0)</f>
        <v/>
      </c>
      <c r="DO15" s="11">
        <f>IF(預測IC!DO15&gt;預測IC!DO$26,1,0)</f>
        <v/>
      </c>
      <c r="DP15" s="11">
        <f>IF(預測IC!DP15&gt;預測IC!DP$26,1,0)</f>
        <v/>
      </c>
      <c r="DQ15" s="11">
        <f>IF(預測IC!DQ15&gt;預測IC!DQ$26,1,0)</f>
        <v/>
      </c>
      <c r="DR15" s="11">
        <f>IF(預測IC!DR15&gt;預測IC!DR$26,1,0)</f>
        <v/>
      </c>
      <c r="DS15" s="11">
        <f>IF(預測IC!DS15&gt;預測IC!DS$26,1,0)</f>
        <v/>
      </c>
      <c r="DT15" s="11">
        <f>IF(預測IC!DT15&gt;預測IC!DT$26,1,0)</f>
        <v/>
      </c>
      <c r="DU15" s="11">
        <f>IF(預測IC!DU15&gt;預測IC!DU$26,1,0)</f>
        <v/>
      </c>
      <c r="DV15" s="11">
        <f>IF(預測IC!DV15&gt;預測IC!DV$26,1,0)</f>
        <v/>
      </c>
      <c r="DW15" s="11">
        <f>IF(預測IC!DW15&gt;預測IC!DW$26,1,0)</f>
        <v/>
      </c>
      <c r="DX15" s="11">
        <f>IF(預測IC!DX15&gt;預測IC!DX$26,1,0)</f>
        <v/>
      </c>
      <c r="DY15" s="11">
        <f>IF(預測IC!DY15&gt;預測IC!DY$26,1,0)</f>
        <v/>
      </c>
      <c r="DZ15" s="11">
        <f>IF(預測IC!DZ15&gt;預測IC!DZ$26,1,0)</f>
        <v/>
      </c>
      <c r="EA15" s="11">
        <f>IF(預測IC!EA15&gt;預測IC!EA$26,1,0)</f>
        <v/>
      </c>
      <c r="EB15" s="11">
        <f>IF(預測IC!EB15&gt;預測IC!EB$26,1,0)</f>
        <v/>
      </c>
      <c r="EC15" s="11">
        <f>IF(預測IC!EC15&gt;預測IC!EC$26,1,0)</f>
        <v/>
      </c>
      <c r="ED15" s="11">
        <f>IF(預測IC!ED15&gt;預測IC!ED$26,1,0)</f>
        <v/>
      </c>
      <c r="EE15" s="11">
        <f>IF(預測IC!EE15&gt;預測IC!EE$26,1,0)</f>
        <v/>
      </c>
      <c r="EF15" s="11">
        <f>IF(預測IC!EF15&gt;預測IC!EF$26,1,0)</f>
        <v/>
      </c>
      <c r="EG15" s="18">
        <f>SUM(C15:EF15)</f>
        <v/>
      </c>
      <c r="EH15" s="21">
        <f>SUM(C15:EF15)/134</f>
        <v/>
      </c>
      <c r="EI15" s="22" t="n"/>
    </row>
    <row r="16" ht="16.2" customFormat="1" customHeight="1" s="8" thickBot="1">
      <c r="A16" s="50" t="n">
        <v>107</v>
      </c>
      <c r="B16" s="50" t="n">
        <v>9</v>
      </c>
      <c r="C16" s="11">
        <f>IF(預測IC!C16&gt;預測IC!C$26,1,0)</f>
        <v/>
      </c>
      <c r="D16" s="11">
        <f>IF(預測IC!D16&gt;預測IC!D$26,1,0)</f>
        <v/>
      </c>
      <c r="E16" s="11">
        <f>IF(預測IC!E16&gt;預測IC!E$26,1,0)</f>
        <v/>
      </c>
      <c r="F16" s="11">
        <f>IF(預測IC!F16&gt;預測IC!F$26,1,0)</f>
        <v/>
      </c>
      <c r="G16" s="11">
        <f>IF(預測IC!G16&gt;預測IC!G$26,1,0)</f>
        <v/>
      </c>
      <c r="H16" s="11">
        <f>IF(預測IC!H16&gt;預測IC!H$26,1,0)</f>
        <v/>
      </c>
      <c r="I16" s="11">
        <f>IF(預測IC!I16&gt;預測IC!I$26,1,0)</f>
        <v/>
      </c>
      <c r="J16" s="11">
        <f>IF(預測IC!J16&gt;預測IC!J$26,1,0)</f>
        <v/>
      </c>
      <c r="K16" s="11">
        <f>IF(預測IC!K16&gt;預測IC!K$26,1,0)</f>
        <v/>
      </c>
      <c r="L16" s="11">
        <f>IF(預測IC!L16&gt;預測IC!L$26,1,0)</f>
        <v/>
      </c>
      <c r="M16" s="11">
        <f>IF(預測IC!M16&gt;預測IC!M$26,1,0)</f>
        <v/>
      </c>
      <c r="N16" s="11">
        <f>IF(預測IC!N16&gt;預測IC!N$26,1,0)</f>
        <v/>
      </c>
      <c r="O16" s="11">
        <f>IF(預測IC!O16&gt;預測IC!O$26,1,0)</f>
        <v/>
      </c>
      <c r="P16" s="11">
        <f>IF(預測IC!P16&gt;預測IC!P$26,1,0)</f>
        <v/>
      </c>
      <c r="Q16" s="11">
        <f>IF(預測IC!Q16&gt;預測IC!Q$26,1,0)</f>
        <v/>
      </c>
      <c r="R16" s="11">
        <f>IF(預測IC!R16&gt;預測IC!R$26,1,0)</f>
        <v/>
      </c>
      <c r="S16" s="11">
        <f>IF(預測IC!S16&gt;預測IC!S$26,1,0)</f>
        <v/>
      </c>
      <c r="T16" s="11">
        <f>IF(預測IC!T16&gt;預測IC!T$26,1,0)</f>
        <v/>
      </c>
      <c r="U16" s="11">
        <f>IF(預測IC!U16&gt;預測IC!U$26,1,0)</f>
        <v/>
      </c>
      <c r="V16" s="11">
        <f>IF(預測IC!V16&gt;預測IC!V$26,1,0)</f>
        <v/>
      </c>
      <c r="W16" s="11">
        <f>IF(預測IC!W16&gt;預測IC!W$26,1,0)</f>
        <v/>
      </c>
      <c r="X16" s="11">
        <f>IF(預測IC!X16&gt;預測IC!X$26,1,0)</f>
        <v/>
      </c>
      <c r="Y16" s="11">
        <f>IF(預測IC!Y16&gt;預測IC!Y$26,1,0)</f>
        <v/>
      </c>
      <c r="Z16" s="11">
        <f>IF(預測IC!Z16&gt;預測IC!Z$26,1,0)</f>
        <v/>
      </c>
      <c r="AA16" s="11">
        <f>IF(預測IC!AA16&gt;預測IC!AA$26,1,0)</f>
        <v/>
      </c>
      <c r="AB16" s="11">
        <f>IF(預測IC!AB16&gt;預測IC!AB$26,1,0)</f>
        <v/>
      </c>
      <c r="AC16" s="11">
        <f>IF(預測IC!AC16&gt;預測IC!AC$26,1,0)</f>
        <v/>
      </c>
      <c r="AD16" s="11">
        <f>IF(預測IC!AD16&gt;預測IC!AD$26,1,0)</f>
        <v/>
      </c>
      <c r="AE16" s="11">
        <f>IF(預測IC!AE16&gt;預測IC!AE$26,1,0)</f>
        <v/>
      </c>
      <c r="AF16" s="11">
        <f>IF(預測IC!AF16&gt;預測IC!AF$26,1,0)</f>
        <v/>
      </c>
      <c r="AG16" s="11">
        <f>IF(預測IC!AG16&gt;預測IC!AG$26,1,0)</f>
        <v/>
      </c>
      <c r="AH16" s="11">
        <f>IF(預測IC!AH16&gt;預測IC!AH$26,1,0)</f>
        <v/>
      </c>
      <c r="AI16" s="11">
        <f>IF(預測IC!AI16&gt;預測IC!AI$26,1,0)</f>
        <v/>
      </c>
      <c r="AJ16" s="11">
        <f>IF(預測IC!AJ16&gt;預測IC!AJ$26,1,0)</f>
        <v/>
      </c>
      <c r="AK16" s="11">
        <f>IF(預測IC!AK16&gt;預測IC!AK$26,1,0)</f>
        <v/>
      </c>
      <c r="AL16" s="11">
        <f>IF(預測IC!AL16&gt;預測IC!AL$26,1,0)</f>
        <v/>
      </c>
      <c r="AM16" s="11">
        <f>IF(預測IC!AM16&gt;預測IC!AM$26,1,0)</f>
        <v/>
      </c>
      <c r="AN16" s="11">
        <f>IF(預測IC!AN16&gt;預測IC!AN$26,1,0)</f>
        <v/>
      </c>
      <c r="AO16" s="11">
        <f>IF(預測IC!AO16&gt;預測IC!AO$26,1,0)</f>
        <v/>
      </c>
      <c r="AP16" s="11">
        <f>IF(預測IC!AP16&gt;預測IC!AP$26,1,0)</f>
        <v/>
      </c>
      <c r="AQ16" s="11">
        <f>IF(預測IC!AQ16&gt;預測IC!AQ$26,1,0)</f>
        <v/>
      </c>
      <c r="AR16" s="11">
        <f>IF(預測IC!AR16&gt;預測IC!AR$26,1,0)</f>
        <v/>
      </c>
      <c r="AS16" s="11">
        <f>IF(預測IC!AS16&gt;預測IC!AS$26,1,0)</f>
        <v/>
      </c>
      <c r="AT16" s="11">
        <f>IF(預測IC!AT16&gt;預測IC!AT$26,1,0)</f>
        <v/>
      </c>
      <c r="AU16" s="11">
        <f>IF(預測IC!AU16&gt;預測IC!AU$26,1,0)</f>
        <v/>
      </c>
      <c r="AV16" s="11">
        <f>IF(預測IC!AV16&gt;預測IC!AV$26,1,0)</f>
        <v/>
      </c>
      <c r="AW16" s="11">
        <f>IF(預測IC!AW16&gt;預測IC!AW$26,1,0)</f>
        <v/>
      </c>
      <c r="AX16" s="11">
        <f>IF(預測IC!AX16&gt;預測IC!AX$26,1,0)</f>
        <v/>
      </c>
      <c r="AY16" s="11">
        <f>IF(預測IC!AY16&gt;預測IC!AY$26,1,0)</f>
        <v/>
      </c>
      <c r="AZ16" s="11">
        <f>IF(預測IC!AZ16&gt;預測IC!AZ$26,1,0)</f>
        <v/>
      </c>
      <c r="BA16" s="11">
        <f>IF(預測IC!BA16&gt;預測IC!BA$26,1,0)</f>
        <v/>
      </c>
      <c r="BB16" s="11">
        <f>IF(預測IC!BB16&gt;預測IC!BB$26,1,0)</f>
        <v/>
      </c>
      <c r="BC16" s="11">
        <f>IF(預測IC!BC16&gt;預測IC!BC$26,1,0)</f>
        <v/>
      </c>
      <c r="BD16" s="11">
        <f>IF(預測IC!BD16&gt;預測IC!BD$26,1,0)</f>
        <v/>
      </c>
      <c r="BE16" s="11">
        <f>IF(預測IC!BE16&gt;預測IC!BE$26,1,0)</f>
        <v/>
      </c>
      <c r="BF16" s="11">
        <f>IF(預測IC!BF16&gt;預測IC!BF$26,1,0)</f>
        <v/>
      </c>
      <c r="BG16" s="11">
        <f>IF(預測IC!BG16&gt;預測IC!BG$26,1,0)</f>
        <v/>
      </c>
      <c r="BH16" s="11">
        <f>IF(預測IC!BH16&gt;預測IC!BH$26,1,0)</f>
        <v/>
      </c>
      <c r="BI16" s="11">
        <f>IF(預測IC!BI16&gt;預測IC!BI$26,1,0)</f>
        <v/>
      </c>
      <c r="BJ16" s="11">
        <f>IF(預測IC!BJ16&gt;預測IC!BJ$26,1,0)</f>
        <v/>
      </c>
      <c r="BK16" s="11">
        <f>IF(預測IC!BK16&gt;預測IC!BK$26,1,0)</f>
        <v/>
      </c>
      <c r="BL16" s="11">
        <f>IF(預測IC!BL16&gt;預測IC!BL$26,1,0)</f>
        <v/>
      </c>
      <c r="BM16" s="11">
        <f>IF(預測IC!BM16&gt;預測IC!BM$26,1,0)</f>
        <v/>
      </c>
      <c r="BN16" s="11">
        <f>IF(預測IC!BN16&gt;預測IC!BN$26,1,0)</f>
        <v/>
      </c>
      <c r="BO16" s="11">
        <f>IF(預測IC!BO16&gt;預測IC!BO$26,1,0)</f>
        <v/>
      </c>
      <c r="BP16" s="11">
        <f>IF(預測IC!BP16&gt;預測IC!BP$26,1,0)</f>
        <v/>
      </c>
      <c r="BQ16" s="11">
        <f>IF(預測IC!BQ16&gt;預測IC!BQ$26,1,0)</f>
        <v/>
      </c>
      <c r="BR16" s="11">
        <f>IF(預測IC!BR16&gt;預測IC!BR$26,1,0)</f>
        <v/>
      </c>
      <c r="BS16" s="11">
        <f>IF(預測IC!BS16&gt;預測IC!BS$26,1,0)</f>
        <v/>
      </c>
      <c r="BT16" s="11">
        <f>IF(預測IC!BT16&gt;預測IC!BT$26,1,0)</f>
        <v/>
      </c>
      <c r="BU16" s="11">
        <f>IF(預測IC!BU16&gt;預測IC!BU$26,1,0)</f>
        <v/>
      </c>
      <c r="BV16" s="11">
        <f>IF(預測IC!BV16&gt;預測IC!BV$26,1,0)</f>
        <v/>
      </c>
      <c r="BW16" s="11">
        <f>IF(預測IC!BW16&gt;預測IC!BW$26,1,0)</f>
        <v/>
      </c>
      <c r="BX16" s="11">
        <f>IF(預測IC!BX16&gt;預測IC!BX$26,1,0)</f>
        <v/>
      </c>
      <c r="BY16" s="11">
        <f>IF(預測IC!BY16&gt;預測IC!BY$26,1,0)</f>
        <v/>
      </c>
      <c r="BZ16" s="11">
        <f>IF(預測IC!BZ16&gt;預測IC!BZ$26,1,0)</f>
        <v/>
      </c>
      <c r="CA16" s="11">
        <f>IF(預測IC!CA16&gt;預測IC!CA$26,1,0)</f>
        <v/>
      </c>
      <c r="CB16" s="11">
        <f>IF(預測IC!CB16&gt;預測IC!CB$26,1,0)</f>
        <v/>
      </c>
      <c r="CC16" s="11">
        <f>IF(預測IC!CC16&gt;預測IC!CC$26,1,0)</f>
        <v/>
      </c>
      <c r="CD16" s="11">
        <f>IF(預測IC!CD16&gt;預測IC!CD$26,1,0)</f>
        <v/>
      </c>
      <c r="CE16" s="11">
        <f>IF(預測IC!CE16&gt;預測IC!CE$26,1,0)</f>
        <v/>
      </c>
      <c r="CF16" s="11">
        <f>IF(預測IC!CF16&gt;預測IC!CF$26,1,0)</f>
        <v/>
      </c>
      <c r="CG16" s="11">
        <f>IF(預測IC!CG16&gt;預測IC!CG$26,1,0)</f>
        <v/>
      </c>
      <c r="CH16" s="11">
        <f>IF(預測IC!CH16&gt;預測IC!CH$26,1,0)</f>
        <v/>
      </c>
      <c r="CI16" s="11">
        <f>IF(預測IC!CI16&gt;預測IC!CI$26,1,0)</f>
        <v/>
      </c>
      <c r="CJ16" s="11">
        <f>IF(預測IC!CJ16&gt;預測IC!CJ$26,1,0)</f>
        <v/>
      </c>
      <c r="CK16" s="11">
        <f>IF(預測IC!CK16&gt;預測IC!CK$26,1,0)</f>
        <v/>
      </c>
      <c r="CL16" s="11">
        <f>IF(預測IC!CL16&gt;預測IC!CL$26,1,0)</f>
        <v/>
      </c>
      <c r="CM16" s="11">
        <f>IF(預測IC!CM16&gt;預測IC!CM$26,1,0)</f>
        <v/>
      </c>
      <c r="CN16" s="11">
        <f>IF(預測IC!CN16&gt;預測IC!CN$26,1,0)</f>
        <v/>
      </c>
      <c r="CO16" s="11">
        <f>IF(預測IC!CO16&gt;預測IC!CO$26,1,0)</f>
        <v/>
      </c>
      <c r="CP16" s="11">
        <f>IF(預測IC!CP16&gt;預測IC!CP$26,1,0)</f>
        <v/>
      </c>
      <c r="CQ16" s="11">
        <f>IF(預測IC!CQ16&gt;預測IC!CQ$26,1,0)</f>
        <v/>
      </c>
      <c r="CR16" s="11">
        <f>IF(預測IC!CR16&gt;預測IC!CR$26,1,0)</f>
        <v/>
      </c>
      <c r="CS16" s="11">
        <f>IF(預測IC!CS16&gt;預測IC!CS$26,1,0)</f>
        <v/>
      </c>
      <c r="CT16" s="11">
        <f>IF(預測IC!CT16&gt;預測IC!CT$26,1,0)</f>
        <v/>
      </c>
      <c r="CU16" s="11">
        <f>IF(預測IC!CU16&gt;預測IC!CU$26,1,0)</f>
        <v/>
      </c>
      <c r="CV16" s="11">
        <f>IF(預測IC!CV16&gt;預測IC!CV$26,1,0)</f>
        <v/>
      </c>
      <c r="CW16" s="11">
        <f>IF(預測IC!CW16&gt;預測IC!CW$26,1,0)</f>
        <v/>
      </c>
      <c r="CX16" s="11">
        <f>IF(預測IC!CX16&gt;預測IC!CX$26,1,0)</f>
        <v/>
      </c>
      <c r="CY16" s="11">
        <f>IF(預測IC!CY16&gt;預測IC!CY$26,1,0)</f>
        <v/>
      </c>
      <c r="CZ16" s="11">
        <f>IF(預測IC!CZ16&gt;預測IC!CZ$26,1,0)</f>
        <v/>
      </c>
      <c r="DA16" s="11">
        <f>IF(預測IC!DA16&gt;預測IC!DA$26,1,0)</f>
        <v/>
      </c>
      <c r="DB16" s="11">
        <f>IF(預測IC!DB16&gt;預測IC!DB$26,1,0)</f>
        <v/>
      </c>
      <c r="DC16" s="11">
        <f>IF(預測IC!DC16&gt;預測IC!DC$26,1,0)</f>
        <v/>
      </c>
      <c r="DD16" s="11">
        <f>IF(預測IC!DD16&gt;預測IC!DD$26,1,0)</f>
        <v/>
      </c>
      <c r="DE16" s="11">
        <f>IF(預測IC!DE16&gt;預測IC!DE$26,1,0)</f>
        <v/>
      </c>
      <c r="DF16" s="11">
        <f>IF(預測IC!DF16&gt;預測IC!DF$26,1,0)</f>
        <v/>
      </c>
      <c r="DG16" s="11">
        <f>IF(預測IC!DG16&gt;預測IC!DG$26,1,0)</f>
        <v/>
      </c>
      <c r="DH16" s="11">
        <f>IF(預測IC!DH16&gt;預測IC!DH$26,1,0)</f>
        <v/>
      </c>
      <c r="DI16" s="11">
        <f>IF(預測IC!DI16&gt;預測IC!DI$26,1,0)</f>
        <v/>
      </c>
      <c r="DJ16" s="11">
        <f>IF(預測IC!DJ16&gt;預測IC!DJ$26,1,0)</f>
        <v/>
      </c>
      <c r="DK16" s="11">
        <f>IF(預測IC!DK16&gt;預測IC!DK$26,1,0)</f>
        <v/>
      </c>
      <c r="DL16" s="11">
        <f>IF(預測IC!DL16&gt;預測IC!DL$26,1,0)</f>
        <v/>
      </c>
      <c r="DM16" s="11">
        <f>IF(預測IC!DM16&gt;預測IC!DM$26,1,0)</f>
        <v/>
      </c>
      <c r="DN16" s="11">
        <f>IF(預測IC!DN16&gt;預測IC!DN$26,1,0)</f>
        <v/>
      </c>
      <c r="DO16" s="11">
        <f>IF(預測IC!DO16&gt;預測IC!DO$26,1,0)</f>
        <v/>
      </c>
      <c r="DP16" s="11">
        <f>IF(預測IC!DP16&gt;預測IC!DP$26,1,0)</f>
        <v/>
      </c>
      <c r="DQ16" s="11">
        <f>IF(預測IC!DQ16&gt;預測IC!DQ$26,1,0)</f>
        <v/>
      </c>
      <c r="DR16" s="11">
        <f>IF(預測IC!DR16&gt;預測IC!DR$26,1,0)</f>
        <v/>
      </c>
      <c r="DS16" s="11">
        <f>IF(預測IC!DS16&gt;預測IC!DS$26,1,0)</f>
        <v/>
      </c>
      <c r="DT16" s="11">
        <f>IF(預測IC!DT16&gt;預測IC!DT$26,1,0)</f>
        <v/>
      </c>
      <c r="DU16" s="11">
        <f>IF(預測IC!DU16&gt;預測IC!DU$26,1,0)</f>
        <v/>
      </c>
      <c r="DV16" s="11">
        <f>IF(預測IC!DV16&gt;預測IC!DV$26,1,0)</f>
        <v/>
      </c>
      <c r="DW16" s="11">
        <f>IF(預測IC!DW16&gt;預測IC!DW$26,1,0)</f>
        <v/>
      </c>
      <c r="DX16" s="11">
        <f>IF(預測IC!DX16&gt;預測IC!DX$26,1,0)</f>
        <v/>
      </c>
      <c r="DY16" s="11">
        <f>IF(預測IC!DY16&gt;預測IC!DY$26,1,0)</f>
        <v/>
      </c>
      <c r="DZ16" s="11">
        <f>IF(預測IC!DZ16&gt;預測IC!DZ$26,1,0)</f>
        <v/>
      </c>
      <c r="EA16" s="11">
        <f>IF(預測IC!EA16&gt;預測IC!EA$26,1,0)</f>
        <v/>
      </c>
      <c r="EB16" s="11">
        <f>IF(預測IC!EB16&gt;預測IC!EB$26,1,0)</f>
        <v/>
      </c>
      <c r="EC16" s="11">
        <f>IF(預測IC!EC16&gt;預測IC!EC$26,1,0)</f>
        <v/>
      </c>
      <c r="ED16" s="11">
        <f>IF(預測IC!ED16&gt;預測IC!ED$26,1,0)</f>
        <v/>
      </c>
      <c r="EE16" s="11">
        <f>IF(預測IC!EE16&gt;預測IC!EE$26,1,0)</f>
        <v/>
      </c>
      <c r="EF16" s="11">
        <f>IF(預測IC!EF16&gt;預測IC!EF$26,1,0)</f>
        <v/>
      </c>
      <c r="EG16" s="20">
        <f>SUM(C16:EF16)</f>
        <v/>
      </c>
      <c r="EH16" s="26">
        <f>SUM(C16:EF16)/134</f>
        <v/>
      </c>
    </row>
    <row r="17" ht="16.2" customFormat="1" customHeight="1" s="8" thickBot="1">
      <c r="A17" s="50" t="n">
        <v>120</v>
      </c>
      <c r="B17" s="50" t="n">
        <v>8</v>
      </c>
      <c r="C17" s="11">
        <f>IF(預測IC!C17&gt;預測IC!C$26,1,0)</f>
        <v/>
      </c>
      <c r="D17" s="11">
        <f>IF(預測IC!D17&gt;預測IC!D$26,1,0)</f>
        <v/>
      </c>
      <c r="E17" s="11">
        <f>IF(預測IC!E17&gt;預測IC!E$26,1,0)</f>
        <v/>
      </c>
      <c r="F17" s="11">
        <f>IF(預測IC!F17&gt;預測IC!F$26,1,0)</f>
        <v/>
      </c>
      <c r="G17" s="11">
        <f>IF(預測IC!G17&gt;預測IC!G$26,1,0)</f>
        <v/>
      </c>
      <c r="H17" s="11">
        <f>IF(預測IC!H17&gt;預測IC!H$26,1,0)</f>
        <v/>
      </c>
      <c r="I17" s="11">
        <f>IF(預測IC!I17&gt;預測IC!I$26,1,0)</f>
        <v/>
      </c>
      <c r="J17" s="11">
        <f>IF(預測IC!J17&gt;預測IC!J$26,1,0)</f>
        <v/>
      </c>
      <c r="K17" s="11">
        <f>IF(預測IC!K17&gt;預測IC!K$26,1,0)</f>
        <v/>
      </c>
      <c r="L17" s="11">
        <f>IF(預測IC!L17&gt;預測IC!L$26,1,0)</f>
        <v/>
      </c>
      <c r="M17" s="11">
        <f>IF(預測IC!M17&gt;預測IC!M$26,1,0)</f>
        <v/>
      </c>
      <c r="N17" s="11">
        <f>IF(預測IC!N17&gt;預測IC!N$26,1,0)</f>
        <v/>
      </c>
      <c r="O17" s="11">
        <f>IF(預測IC!O17&gt;預測IC!O$26,1,0)</f>
        <v/>
      </c>
      <c r="P17" s="11">
        <f>IF(預測IC!P17&gt;預測IC!P$26,1,0)</f>
        <v/>
      </c>
      <c r="Q17" s="11">
        <f>IF(預測IC!Q17&gt;預測IC!Q$26,1,0)</f>
        <v/>
      </c>
      <c r="R17" s="11">
        <f>IF(預測IC!R17&gt;預測IC!R$26,1,0)</f>
        <v/>
      </c>
      <c r="S17" s="11">
        <f>IF(預測IC!S17&gt;預測IC!S$26,1,0)</f>
        <v/>
      </c>
      <c r="T17" s="11">
        <f>IF(預測IC!T17&gt;預測IC!T$26,1,0)</f>
        <v/>
      </c>
      <c r="U17" s="11">
        <f>IF(預測IC!U17&gt;預測IC!U$26,1,0)</f>
        <v/>
      </c>
      <c r="V17" s="11">
        <f>IF(預測IC!V17&gt;預測IC!V$26,1,0)</f>
        <v/>
      </c>
      <c r="W17" s="11">
        <f>IF(預測IC!W17&gt;預測IC!W$26,1,0)</f>
        <v/>
      </c>
      <c r="X17" s="11">
        <f>IF(預測IC!X17&gt;預測IC!X$26,1,0)</f>
        <v/>
      </c>
      <c r="Y17" s="11">
        <f>IF(預測IC!Y17&gt;預測IC!Y$26,1,0)</f>
        <v/>
      </c>
      <c r="Z17" s="11">
        <f>IF(預測IC!Z17&gt;預測IC!Z$26,1,0)</f>
        <v/>
      </c>
      <c r="AA17" s="11">
        <f>IF(預測IC!AA17&gt;預測IC!AA$26,1,0)</f>
        <v/>
      </c>
      <c r="AB17" s="11">
        <f>IF(預測IC!AB17&gt;預測IC!AB$26,1,0)</f>
        <v/>
      </c>
      <c r="AC17" s="11">
        <f>IF(預測IC!AC17&gt;預測IC!AC$26,1,0)</f>
        <v/>
      </c>
      <c r="AD17" s="11">
        <f>IF(預測IC!AD17&gt;預測IC!AD$26,1,0)</f>
        <v/>
      </c>
      <c r="AE17" s="11">
        <f>IF(預測IC!AE17&gt;預測IC!AE$26,1,0)</f>
        <v/>
      </c>
      <c r="AF17" s="11">
        <f>IF(預測IC!AF17&gt;預測IC!AF$26,1,0)</f>
        <v/>
      </c>
      <c r="AG17" s="11">
        <f>IF(預測IC!AG17&gt;預測IC!AG$26,1,0)</f>
        <v/>
      </c>
      <c r="AH17" s="11">
        <f>IF(預測IC!AH17&gt;預測IC!AH$26,1,0)</f>
        <v/>
      </c>
      <c r="AI17" s="11">
        <f>IF(預測IC!AI17&gt;預測IC!AI$26,1,0)</f>
        <v/>
      </c>
      <c r="AJ17" s="11">
        <f>IF(預測IC!AJ17&gt;預測IC!AJ$26,1,0)</f>
        <v/>
      </c>
      <c r="AK17" s="11">
        <f>IF(預測IC!AK17&gt;預測IC!AK$26,1,0)</f>
        <v/>
      </c>
      <c r="AL17" s="11">
        <f>IF(預測IC!AL17&gt;預測IC!AL$26,1,0)</f>
        <v/>
      </c>
      <c r="AM17" s="11">
        <f>IF(預測IC!AM17&gt;預測IC!AM$26,1,0)</f>
        <v/>
      </c>
      <c r="AN17" s="11">
        <f>IF(預測IC!AN17&gt;預測IC!AN$26,1,0)</f>
        <v/>
      </c>
      <c r="AO17" s="11">
        <f>IF(預測IC!AO17&gt;預測IC!AO$26,1,0)</f>
        <v/>
      </c>
      <c r="AP17" s="11">
        <f>IF(預測IC!AP17&gt;預測IC!AP$26,1,0)</f>
        <v/>
      </c>
      <c r="AQ17" s="11">
        <f>IF(預測IC!AQ17&gt;預測IC!AQ$26,1,0)</f>
        <v/>
      </c>
      <c r="AR17" s="11">
        <f>IF(預測IC!AR17&gt;預測IC!AR$26,1,0)</f>
        <v/>
      </c>
      <c r="AS17" s="11">
        <f>IF(預測IC!AS17&gt;預測IC!AS$26,1,0)</f>
        <v/>
      </c>
      <c r="AT17" s="11">
        <f>IF(預測IC!AT17&gt;預測IC!AT$26,1,0)</f>
        <v/>
      </c>
      <c r="AU17" s="11">
        <f>IF(預測IC!AU17&gt;預測IC!AU$26,1,0)</f>
        <v/>
      </c>
      <c r="AV17" s="11">
        <f>IF(預測IC!AV17&gt;預測IC!AV$26,1,0)</f>
        <v/>
      </c>
      <c r="AW17" s="11">
        <f>IF(預測IC!AW17&gt;預測IC!AW$26,1,0)</f>
        <v/>
      </c>
      <c r="AX17" s="11">
        <f>IF(預測IC!AX17&gt;預測IC!AX$26,1,0)</f>
        <v/>
      </c>
      <c r="AY17" s="11">
        <f>IF(預測IC!AY17&gt;預測IC!AY$26,1,0)</f>
        <v/>
      </c>
      <c r="AZ17" s="11">
        <f>IF(預測IC!AZ17&gt;預測IC!AZ$26,1,0)</f>
        <v/>
      </c>
      <c r="BA17" s="11">
        <f>IF(預測IC!BA17&gt;預測IC!BA$26,1,0)</f>
        <v/>
      </c>
      <c r="BB17" s="11">
        <f>IF(預測IC!BB17&gt;預測IC!BB$26,1,0)</f>
        <v/>
      </c>
      <c r="BC17" s="11">
        <f>IF(預測IC!BC17&gt;預測IC!BC$26,1,0)</f>
        <v/>
      </c>
      <c r="BD17" s="11">
        <f>IF(預測IC!BD17&gt;預測IC!BD$26,1,0)</f>
        <v/>
      </c>
      <c r="BE17" s="11">
        <f>IF(預測IC!BE17&gt;預測IC!BE$26,1,0)</f>
        <v/>
      </c>
      <c r="BF17" s="11">
        <f>IF(預測IC!BF17&gt;預測IC!BF$26,1,0)</f>
        <v/>
      </c>
      <c r="BG17" s="11">
        <f>IF(預測IC!BG17&gt;預測IC!BG$26,1,0)</f>
        <v/>
      </c>
      <c r="BH17" s="11">
        <f>IF(預測IC!BH17&gt;預測IC!BH$26,1,0)</f>
        <v/>
      </c>
      <c r="BI17" s="11">
        <f>IF(預測IC!BI17&gt;預測IC!BI$26,1,0)</f>
        <v/>
      </c>
      <c r="BJ17" s="11">
        <f>IF(預測IC!BJ17&gt;預測IC!BJ$26,1,0)</f>
        <v/>
      </c>
      <c r="BK17" s="11">
        <f>IF(預測IC!BK17&gt;預測IC!BK$26,1,0)</f>
        <v/>
      </c>
      <c r="BL17" s="11">
        <f>IF(預測IC!BL17&gt;預測IC!BL$26,1,0)</f>
        <v/>
      </c>
      <c r="BM17" s="11">
        <f>IF(預測IC!BM17&gt;預測IC!BM$26,1,0)</f>
        <v/>
      </c>
      <c r="BN17" s="11">
        <f>IF(預測IC!BN17&gt;預測IC!BN$26,1,0)</f>
        <v/>
      </c>
      <c r="BO17" s="11">
        <f>IF(預測IC!BO17&gt;預測IC!BO$26,1,0)</f>
        <v/>
      </c>
      <c r="BP17" s="11">
        <f>IF(預測IC!BP17&gt;預測IC!BP$26,1,0)</f>
        <v/>
      </c>
      <c r="BQ17" s="11">
        <f>IF(預測IC!BQ17&gt;預測IC!BQ$26,1,0)</f>
        <v/>
      </c>
      <c r="BR17" s="11">
        <f>IF(預測IC!BR17&gt;預測IC!BR$26,1,0)</f>
        <v/>
      </c>
      <c r="BS17" s="11">
        <f>IF(預測IC!BS17&gt;預測IC!BS$26,1,0)</f>
        <v/>
      </c>
      <c r="BT17" s="11">
        <f>IF(預測IC!BT17&gt;預測IC!BT$26,1,0)</f>
        <v/>
      </c>
      <c r="BU17" s="11">
        <f>IF(預測IC!BU17&gt;預測IC!BU$26,1,0)</f>
        <v/>
      </c>
      <c r="BV17" s="11">
        <f>IF(預測IC!BV17&gt;預測IC!BV$26,1,0)</f>
        <v/>
      </c>
      <c r="BW17" s="11">
        <f>IF(預測IC!BW17&gt;預測IC!BW$26,1,0)</f>
        <v/>
      </c>
      <c r="BX17" s="11">
        <f>IF(預測IC!BX17&gt;預測IC!BX$26,1,0)</f>
        <v/>
      </c>
      <c r="BY17" s="11">
        <f>IF(預測IC!BY17&gt;預測IC!BY$26,1,0)</f>
        <v/>
      </c>
      <c r="BZ17" s="11">
        <f>IF(預測IC!BZ17&gt;預測IC!BZ$26,1,0)</f>
        <v/>
      </c>
      <c r="CA17" s="11">
        <f>IF(預測IC!CA17&gt;預測IC!CA$26,1,0)</f>
        <v/>
      </c>
      <c r="CB17" s="11">
        <f>IF(預測IC!CB17&gt;預測IC!CB$26,1,0)</f>
        <v/>
      </c>
      <c r="CC17" s="11">
        <f>IF(預測IC!CC17&gt;預測IC!CC$26,1,0)</f>
        <v/>
      </c>
      <c r="CD17" s="11">
        <f>IF(預測IC!CD17&gt;預測IC!CD$26,1,0)</f>
        <v/>
      </c>
      <c r="CE17" s="11">
        <f>IF(預測IC!CE17&gt;預測IC!CE$26,1,0)</f>
        <v/>
      </c>
      <c r="CF17" s="11">
        <f>IF(預測IC!CF17&gt;預測IC!CF$26,1,0)</f>
        <v/>
      </c>
      <c r="CG17" s="11">
        <f>IF(預測IC!CG17&gt;預測IC!CG$26,1,0)</f>
        <v/>
      </c>
      <c r="CH17" s="11">
        <f>IF(預測IC!CH17&gt;預測IC!CH$26,1,0)</f>
        <v/>
      </c>
      <c r="CI17" s="11">
        <f>IF(預測IC!CI17&gt;預測IC!CI$26,1,0)</f>
        <v/>
      </c>
      <c r="CJ17" s="11">
        <f>IF(預測IC!CJ17&gt;預測IC!CJ$26,1,0)</f>
        <v/>
      </c>
      <c r="CK17" s="11">
        <f>IF(預測IC!CK17&gt;預測IC!CK$26,1,0)</f>
        <v/>
      </c>
      <c r="CL17" s="11">
        <f>IF(預測IC!CL17&gt;預測IC!CL$26,1,0)</f>
        <v/>
      </c>
      <c r="CM17" s="11">
        <f>IF(預測IC!CM17&gt;預測IC!CM$26,1,0)</f>
        <v/>
      </c>
      <c r="CN17" s="11">
        <f>IF(預測IC!CN17&gt;預測IC!CN$26,1,0)</f>
        <v/>
      </c>
      <c r="CO17" s="11">
        <f>IF(預測IC!CO17&gt;預測IC!CO$26,1,0)</f>
        <v/>
      </c>
      <c r="CP17" s="11">
        <f>IF(預測IC!CP17&gt;預測IC!CP$26,1,0)</f>
        <v/>
      </c>
      <c r="CQ17" s="11">
        <f>IF(預測IC!CQ17&gt;預測IC!CQ$26,1,0)</f>
        <v/>
      </c>
      <c r="CR17" s="11">
        <f>IF(預測IC!CR17&gt;預測IC!CR$26,1,0)</f>
        <v/>
      </c>
      <c r="CS17" s="11">
        <f>IF(預測IC!CS17&gt;預測IC!CS$26,1,0)</f>
        <v/>
      </c>
      <c r="CT17" s="11">
        <f>IF(預測IC!CT17&gt;預測IC!CT$26,1,0)</f>
        <v/>
      </c>
      <c r="CU17" s="11">
        <f>IF(預測IC!CU17&gt;預測IC!CU$26,1,0)</f>
        <v/>
      </c>
      <c r="CV17" s="11">
        <f>IF(預測IC!CV17&gt;預測IC!CV$26,1,0)</f>
        <v/>
      </c>
      <c r="CW17" s="11">
        <f>IF(預測IC!CW17&gt;預測IC!CW$26,1,0)</f>
        <v/>
      </c>
      <c r="CX17" s="11">
        <f>IF(預測IC!CX17&gt;預測IC!CX$26,1,0)</f>
        <v/>
      </c>
      <c r="CY17" s="11">
        <f>IF(預測IC!CY17&gt;預測IC!CY$26,1,0)</f>
        <v/>
      </c>
      <c r="CZ17" s="11">
        <f>IF(預測IC!CZ17&gt;預測IC!CZ$26,1,0)</f>
        <v/>
      </c>
      <c r="DA17" s="11">
        <f>IF(預測IC!DA17&gt;預測IC!DA$26,1,0)</f>
        <v/>
      </c>
      <c r="DB17" s="11">
        <f>IF(預測IC!DB17&gt;預測IC!DB$26,1,0)</f>
        <v/>
      </c>
      <c r="DC17" s="11">
        <f>IF(預測IC!DC17&gt;預測IC!DC$26,1,0)</f>
        <v/>
      </c>
      <c r="DD17" s="11">
        <f>IF(預測IC!DD17&gt;預測IC!DD$26,1,0)</f>
        <v/>
      </c>
      <c r="DE17" s="11">
        <f>IF(預測IC!DE17&gt;預測IC!DE$26,1,0)</f>
        <v/>
      </c>
      <c r="DF17" s="11">
        <f>IF(預測IC!DF17&gt;預測IC!DF$26,1,0)</f>
        <v/>
      </c>
      <c r="DG17" s="11">
        <f>IF(預測IC!DG17&gt;預測IC!DG$26,1,0)</f>
        <v/>
      </c>
      <c r="DH17" s="11">
        <f>IF(預測IC!DH17&gt;預測IC!DH$26,1,0)</f>
        <v/>
      </c>
      <c r="DI17" s="11">
        <f>IF(預測IC!DI17&gt;預測IC!DI$26,1,0)</f>
        <v/>
      </c>
      <c r="DJ17" s="11">
        <f>IF(預測IC!DJ17&gt;預測IC!DJ$26,1,0)</f>
        <v/>
      </c>
      <c r="DK17" s="11">
        <f>IF(預測IC!DK17&gt;預測IC!DK$26,1,0)</f>
        <v/>
      </c>
      <c r="DL17" s="11">
        <f>IF(預測IC!DL17&gt;預測IC!DL$26,1,0)</f>
        <v/>
      </c>
      <c r="DM17" s="11">
        <f>IF(預測IC!DM17&gt;預測IC!DM$26,1,0)</f>
        <v/>
      </c>
      <c r="DN17" s="11">
        <f>IF(預測IC!DN17&gt;預測IC!DN$26,1,0)</f>
        <v/>
      </c>
      <c r="DO17" s="11">
        <f>IF(預測IC!DO17&gt;預測IC!DO$26,1,0)</f>
        <v/>
      </c>
      <c r="DP17" s="11">
        <f>IF(預測IC!DP17&gt;預測IC!DP$26,1,0)</f>
        <v/>
      </c>
      <c r="DQ17" s="11">
        <f>IF(預測IC!DQ17&gt;預測IC!DQ$26,1,0)</f>
        <v/>
      </c>
      <c r="DR17" s="11">
        <f>IF(預測IC!DR17&gt;預測IC!DR$26,1,0)</f>
        <v/>
      </c>
      <c r="DS17" s="11">
        <f>IF(預測IC!DS17&gt;預測IC!DS$26,1,0)</f>
        <v/>
      </c>
      <c r="DT17" s="11">
        <f>IF(預測IC!DT17&gt;預測IC!DT$26,1,0)</f>
        <v/>
      </c>
      <c r="DU17" s="11">
        <f>IF(預測IC!DU17&gt;預測IC!DU$26,1,0)</f>
        <v/>
      </c>
      <c r="DV17" s="11">
        <f>IF(預測IC!DV17&gt;預測IC!DV$26,1,0)</f>
        <v/>
      </c>
      <c r="DW17" s="11">
        <f>IF(預測IC!DW17&gt;預測IC!DW$26,1,0)</f>
        <v/>
      </c>
      <c r="DX17" s="11">
        <f>IF(預測IC!DX17&gt;預測IC!DX$26,1,0)</f>
        <v/>
      </c>
      <c r="DY17" s="11">
        <f>IF(預測IC!DY17&gt;預測IC!DY$26,1,0)</f>
        <v/>
      </c>
      <c r="DZ17" s="11">
        <f>IF(預測IC!DZ17&gt;預測IC!DZ$26,1,0)</f>
        <v/>
      </c>
      <c r="EA17" s="11">
        <f>IF(預測IC!EA17&gt;預測IC!EA$26,1,0)</f>
        <v/>
      </c>
      <c r="EB17" s="11">
        <f>IF(預測IC!EB17&gt;預測IC!EB$26,1,0)</f>
        <v/>
      </c>
      <c r="EC17" s="11">
        <f>IF(預測IC!EC17&gt;預測IC!EC$26,1,0)</f>
        <v/>
      </c>
      <c r="ED17" s="11">
        <f>IF(預測IC!ED17&gt;預測IC!ED$26,1,0)</f>
        <v/>
      </c>
      <c r="EE17" s="11">
        <f>IF(預測IC!EE17&gt;預測IC!EE$26,1,0)</f>
        <v/>
      </c>
      <c r="EF17" s="11">
        <f>IF(預測IC!EF17&gt;預測IC!EF$26,1,0)</f>
        <v/>
      </c>
      <c r="EG17" s="23">
        <f>SUM(C17:EF17)</f>
        <v/>
      </c>
      <c r="EH17" s="26">
        <f>SUM(C17:EF17)/134</f>
        <v/>
      </c>
    </row>
    <row r="18" ht="16.2" customFormat="1" customHeight="1" s="8" thickBot="1">
      <c r="A18" s="50" t="n">
        <v>137</v>
      </c>
      <c r="B18" s="50" t="n">
        <v>7</v>
      </c>
      <c r="C18" s="11">
        <f>IF(預測IC!C18&gt;預測IC!C$26,1,0)</f>
        <v/>
      </c>
      <c r="D18" s="11">
        <f>IF(預測IC!D18&gt;預測IC!D$26,1,0)</f>
        <v/>
      </c>
      <c r="E18" s="11">
        <f>IF(預測IC!E18&gt;預測IC!E$26,1,0)</f>
        <v/>
      </c>
      <c r="F18" s="11">
        <f>IF(預測IC!F18&gt;預測IC!F$26,1,0)</f>
        <v/>
      </c>
      <c r="G18" s="11">
        <f>IF(預測IC!G18&gt;預測IC!G$26,1,0)</f>
        <v/>
      </c>
      <c r="H18" s="11">
        <f>IF(預測IC!H18&gt;預測IC!H$26,1,0)</f>
        <v/>
      </c>
      <c r="I18" s="11">
        <f>IF(預測IC!I18&gt;預測IC!I$26,1,0)</f>
        <v/>
      </c>
      <c r="J18" s="11">
        <f>IF(預測IC!J18&gt;預測IC!J$26,1,0)</f>
        <v/>
      </c>
      <c r="K18" s="11">
        <f>IF(預測IC!K18&gt;預測IC!K$26,1,0)</f>
        <v/>
      </c>
      <c r="L18" s="11">
        <f>IF(預測IC!L18&gt;預測IC!L$26,1,0)</f>
        <v/>
      </c>
      <c r="M18" s="11">
        <f>IF(預測IC!M18&gt;預測IC!M$26,1,0)</f>
        <v/>
      </c>
      <c r="N18" s="11">
        <f>IF(預測IC!N18&gt;預測IC!N$26,1,0)</f>
        <v/>
      </c>
      <c r="O18" s="11">
        <f>IF(預測IC!O18&gt;預測IC!O$26,1,0)</f>
        <v/>
      </c>
      <c r="P18" s="11">
        <f>IF(預測IC!P18&gt;預測IC!P$26,1,0)</f>
        <v/>
      </c>
      <c r="Q18" s="11">
        <f>IF(預測IC!Q18&gt;預測IC!Q$26,1,0)</f>
        <v/>
      </c>
      <c r="R18" s="11">
        <f>IF(預測IC!R18&gt;預測IC!R$26,1,0)</f>
        <v/>
      </c>
      <c r="S18" s="11">
        <f>IF(預測IC!S18&gt;預測IC!S$26,1,0)</f>
        <v/>
      </c>
      <c r="T18" s="11">
        <f>IF(預測IC!T18&gt;預測IC!T$26,1,0)</f>
        <v/>
      </c>
      <c r="U18" s="11">
        <f>IF(預測IC!U18&gt;預測IC!U$26,1,0)</f>
        <v/>
      </c>
      <c r="V18" s="11">
        <f>IF(預測IC!V18&gt;預測IC!V$26,1,0)</f>
        <v/>
      </c>
      <c r="W18" s="11">
        <f>IF(預測IC!W18&gt;預測IC!W$26,1,0)</f>
        <v/>
      </c>
      <c r="X18" s="11">
        <f>IF(預測IC!X18&gt;預測IC!X$26,1,0)</f>
        <v/>
      </c>
      <c r="Y18" s="11">
        <f>IF(預測IC!Y18&gt;預測IC!Y$26,1,0)</f>
        <v/>
      </c>
      <c r="Z18" s="11">
        <f>IF(預測IC!Z18&gt;預測IC!Z$26,1,0)</f>
        <v/>
      </c>
      <c r="AA18" s="11">
        <f>IF(預測IC!AA18&gt;預測IC!AA$26,1,0)</f>
        <v/>
      </c>
      <c r="AB18" s="11">
        <f>IF(預測IC!AB18&gt;預測IC!AB$26,1,0)</f>
        <v/>
      </c>
      <c r="AC18" s="11">
        <f>IF(預測IC!AC18&gt;預測IC!AC$26,1,0)</f>
        <v/>
      </c>
      <c r="AD18" s="11">
        <f>IF(預測IC!AD18&gt;預測IC!AD$26,1,0)</f>
        <v/>
      </c>
      <c r="AE18" s="11">
        <f>IF(預測IC!AE18&gt;預測IC!AE$26,1,0)</f>
        <v/>
      </c>
      <c r="AF18" s="11">
        <f>IF(預測IC!AF18&gt;預測IC!AF$26,1,0)</f>
        <v/>
      </c>
      <c r="AG18" s="11">
        <f>IF(預測IC!AG18&gt;預測IC!AG$26,1,0)</f>
        <v/>
      </c>
      <c r="AH18" s="11">
        <f>IF(預測IC!AH18&gt;預測IC!AH$26,1,0)</f>
        <v/>
      </c>
      <c r="AI18" s="11">
        <f>IF(預測IC!AI18&gt;預測IC!AI$26,1,0)</f>
        <v/>
      </c>
      <c r="AJ18" s="11">
        <f>IF(預測IC!AJ18&gt;預測IC!AJ$26,1,0)</f>
        <v/>
      </c>
      <c r="AK18" s="11">
        <f>IF(預測IC!AK18&gt;預測IC!AK$26,1,0)</f>
        <v/>
      </c>
      <c r="AL18" s="11">
        <f>IF(預測IC!AL18&gt;預測IC!AL$26,1,0)</f>
        <v/>
      </c>
      <c r="AM18" s="11">
        <f>IF(預測IC!AM18&gt;預測IC!AM$26,1,0)</f>
        <v/>
      </c>
      <c r="AN18" s="11">
        <f>IF(預測IC!AN18&gt;預測IC!AN$26,1,0)</f>
        <v/>
      </c>
      <c r="AO18" s="11">
        <f>IF(預測IC!AO18&gt;預測IC!AO$26,1,0)</f>
        <v/>
      </c>
      <c r="AP18" s="11">
        <f>IF(預測IC!AP18&gt;預測IC!AP$26,1,0)</f>
        <v/>
      </c>
      <c r="AQ18" s="11">
        <f>IF(預測IC!AQ18&gt;預測IC!AQ$26,1,0)</f>
        <v/>
      </c>
      <c r="AR18" s="11">
        <f>IF(預測IC!AR18&gt;預測IC!AR$26,1,0)</f>
        <v/>
      </c>
      <c r="AS18" s="11">
        <f>IF(預測IC!AS18&gt;預測IC!AS$26,1,0)</f>
        <v/>
      </c>
      <c r="AT18" s="11">
        <f>IF(預測IC!AT18&gt;預測IC!AT$26,1,0)</f>
        <v/>
      </c>
      <c r="AU18" s="11">
        <f>IF(預測IC!AU18&gt;預測IC!AU$26,1,0)</f>
        <v/>
      </c>
      <c r="AV18" s="11">
        <f>IF(預測IC!AV18&gt;預測IC!AV$26,1,0)</f>
        <v/>
      </c>
      <c r="AW18" s="11">
        <f>IF(預測IC!AW18&gt;預測IC!AW$26,1,0)</f>
        <v/>
      </c>
      <c r="AX18" s="11">
        <f>IF(預測IC!AX18&gt;預測IC!AX$26,1,0)</f>
        <v/>
      </c>
      <c r="AY18" s="11">
        <f>IF(預測IC!AY18&gt;預測IC!AY$26,1,0)</f>
        <v/>
      </c>
      <c r="AZ18" s="11">
        <f>IF(預測IC!AZ18&gt;預測IC!AZ$26,1,0)</f>
        <v/>
      </c>
      <c r="BA18" s="11">
        <f>IF(預測IC!BA18&gt;預測IC!BA$26,1,0)</f>
        <v/>
      </c>
      <c r="BB18" s="11">
        <f>IF(預測IC!BB18&gt;預測IC!BB$26,1,0)</f>
        <v/>
      </c>
      <c r="BC18" s="11">
        <f>IF(預測IC!BC18&gt;預測IC!BC$26,1,0)</f>
        <v/>
      </c>
      <c r="BD18" s="11">
        <f>IF(預測IC!BD18&gt;預測IC!BD$26,1,0)</f>
        <v/>
      </c>
      <c r="BE18" s="11">
        <f>IF(預測IC!BE18&gt;預測IC!BE$26,1,0)</f>
        <v/>
      </c>
      <c r="BF18" s="11">
        <f>IF(預測IC!BF18&gt;預測IC!BF$26,1,0)</f>
        <v/>
      </c>
      <c r="BG18" s="11">
        <f>IF(預測IC!BG18&gt;預測IC!BG$26,1,0)</f>
        <v/>
      </c>
      <c r="BH18" s="11">
        <f>IF(預測IC!BH18&gt;預測IC!BH$26,1,0)</f>
        <v/>
      </c>
      <c r="BI18" s="11">
        <f>IF(預測IC!BI18&gt;預測IC!BI$26,1,0)</f>
        <v/>
      </c>
      <c r="BJ18" s="11">
        <f>IF(預測IC!BJ18&gt;預測IC!BJ$26,1,0)</f>
        <v/>
      </c>
      <c r="BK18" s="11">
        <f>IF(預測IC!BK18&gt;預測IC!BK$26,1,0)</f>
        <v/>
      </c>
      <c r="BL18" s="11">
        <f>IF(預測IC!BL18&gt;預測IC!BL$26,1,0)</f>
        <v/>
      </c>
      <c r="BM18" s="11">
        <f>IF(預測IC!BM18&gt;預測IC!BM$26,1,0)</f>
        <v/>
      </c>
      <c r="BN18" s="11">
        <f>IF(預測IC!BN18&gt;預測IC!BN$26,1,0)</f>
        <v/>
      </c>
      <c r="BO18" s="11">
        <f>IF(預測IC!BO18&gt;預測IC!BO$26,1,0)</f>
        <v/>
      </c>
      <c r="BP18" s="11">
        <f>IF(預測IC!BP18&gt;預測IC!BP$26,1,0)</f>
        <v/>
      </c>
      <c r="BQ18" s="11">
        <f>IF(預測IC!BQ18&gt;預測IC!BQ$26,1,0)</f>
        <v/>
      </c>
      <c r="BR18" s="11">
        <f>IF(預測IC!BR18&gt;預測IC!BR$26,1,0)</f>
        <v/>
      </c>
      <c r="BS18" s="11">
        <f>IF(預測IC!BS18&gt;預測IC!BS$26,1,0)</f>
        <v/>
      </c>
      <c r="BT18" s="11">
        <f>IF(預測IC!BT18&gt;預測IC!BT$26,1,0)</f>
        <v/>
      </c>
      <c r="BU18" s="11">
        <f>IF(預測IC!BU18&gt;預測IC!BU$26,1,0)</f>
        <v/>
      </c>
      <c r="BV18" s="11">
        <f>IF(預測IC!BV18&gt;預測IC!BV$26,1,0)</f>
        <v/>
      </c>
      <c r="BW18" s="11">
        <f>IF(預測IC!BW18&gt;預測IC!BW$26,1,0)</f>
        <v/>
      </c>
      <c r="BX18" s="11">
        <f>IF(預測IC!BX18&gt;預測IC!BX$26,1,0)</f>
        <v/>
      </c>
      <c r="BY18" s="11">
        <f>IF(預測IC!BY18&gt;預測IC!BY$26,1,0)</f>
        <v/>
      </c>
      <c r="BZ18" s="11">
        <f>IF(預測IC!BZ18&gt;預測IC!BZ$26,1,0)</f>
        <v/>
      </c>
      <c r="CA18" s="11">
        <f>IF(預測IC!CA18&gt;預測IC!CA$26,1,0)</f>
        <v/>
      </c>
      <c r="CB18" s="11">
        <f>IF(預測IC!CB18&gt;預測IC!CB$26,1,0)</f>
        <v/>
      </c>
      <c r="CC18" s="11">
        <f>IF(預測IC!CC18&gt;預測IC!CC$26,1,0)</f>
        <v/>
      </c>
      <c r="CD18" s="11">
        <f>IF(預測IC!CD18&gt;預測IC!CD$26,1,0)</f>
        <v/>
      </c>
      <c r="CE18" s="11">
        <f>IF(預測IC!CE18&gt;預測IC!CE$26,1,0)</f>
        <v/>
      </c>
      <c r="CF18" s="11">
        <f>IF(預測IC!CF18&gt;預測IC!CF$26,1,0)</f>
        <v/>
      </c>
      <c r="CG18" s="11">
        <f>IF(預測IC!CG18&gt;預測IC!CG$26,1,0)</f>
        <v/>
      </c>
      <c r="CH18" s="11">
        <f>IF(預測IC!CH18&gt;預測IC!CH$26,1,0)</f>
        <v/>
      </c>
      <c r="CI18" s="11">
        <f>IF(預測IC!CI18&gt;預測IC!CI$26,1,0)</f>
        <v/>
      </c>
      <c r="CJ18" s="11">
        <f>IF(預測IC!CJ18&gt;預測IC!CJ$26,1,0)</f>
        <v/>
      </c>
      <c r="CK18" s="11">
        <f>IF(預測IC!CK18&gt;預測IC!CK$26,1,0)</f>
        <v/>
      </c>
      <c r="CL18" s="11">
        <f>IF(預測IC!CL18&gt;預測IC!CL$26,1,0)</f>
        <v/>
      </c>
      <c r="CM18" s="11">
        <f>IF(預測IC!CM18&gt;預測IC!CM$26,1,0)</f>
        <v/>
      </c>
      <c r="CN18" s="11">
        <f>IF(預測IC!CN18&gt;預測IC!CN$26,1,0)</f>
        <v/>
      </c>
      <c r="CO18" s="11">
        <f>IF(預測IC!CO18&gt;預測IC!CO$26,1,0)</f>
        <v/>
      </c>
      <c r="CP18" s="11">
        <f>IF(預測IC!CP18&gt;預測IC!CP$26,1,0)</f>
        <v/>
      </c>
      <c r="CQ18" s="11">
        <f>IF(預測IC!CQ18&gt;預測IC!CQ$26,1,0)</f>
        <v/>
      </c>
      <c r="CR18" s="11">
        <f>IF(預測IC!CR18&gt;預測IC!CR$26,1,0)</f>
        <v/>
      </c>
      <c r="CS18" s="11">
        <f>IF(預測IC!CS18&gt;預測IC!CS$26,1,0)</f>
        <v/>
      </c>
      <c r="CT18" s="11">
        <f>IF(預測IC!CT18&gt;預測IC!CT$26,1,0)</f>
        <v/>
      </c>
      <c r="CU18" s="11">
        <f>IF(預測IC!CU18&gt;預測IC!CU$26,1,0)</f>
        <v/>
      </c>
      <c r="CV18" s="11">
        <f>IF(預測IC!CV18&gt;預測IC!CV$26,1,0)</f>
        <v/>
      </c>
      <c r="CW18" s="11">
        <f>IF(預測IC!CW18&gt;預測IC!CW$26,1,0)</f>
        <v/>
      </c>
      <c r="CX18" s="11">
        <f>IF(預測IC!CX18&gt;預測IC!CX$26,1,0)</f>
        <v/>
      </c>
      <c r="CY18" s="11">
        <f>IF(預測IC!CY18&gt;預測IC!CY$26,1,0)</f>
        <v/>
      </c>
      <c r="CZ18" s="11">
        <f>IF(預測IC!CZ18&gt;預測IC!CZ$26,1,0)</f>
        <v/>
      </c>
      <c r="DA18" s="11">
        <f>IF(預測IC!DA18&gt;預測IC!DA$26,1,0)</f>
        <v/>
      </c>
      <c r="DB18" s="11">
        <f>IF(預測IC!DB18&gt;預測IC!DB$26,1,0)</f>
        <v/>
      </c>
      <c r="DC18" s="11">
        <f>IF(預測IC!DC18&gt;預測IC!DC$26,1,0)</f>
        <v/>
      </c>
      <c r="DD18" s="11">
        <f>IF(預測IC!DD18&gt;預測IC!DD$26,1,0)</f>
        <v/>
      </c>
      <c r="DE18" s="11">
        <f>IF(預測IC!DE18&gt;預測IC!DE$26,1,0)</f>
        <v/>
      </c>
      <c r="DF18" s="11">
        <f>IF(預測IC!DF18&gt;預測IC!DF$26,1,0)</f>
        <v/>
      </c>
      <c r="DG18" s="11">
        <f>IF(預測IC!DG18&gt;預測IC!DG$26,1,0)</f>
        <v/>
      </c>
      <c r="DH18" s="11">
        <f>IF(預測IC!DH18&gt;預測IC!DH$26,1,0)</f>
        <v/>
      </c>
      <c r="DI18" s="11">
        <f>IF(預測IC!DI18&gt;預測IC!DI$26,1,0)</f>
        <v/>
      </c>
      <c r="DJ18" s="11">
        <f>IF(預測IC!DJ18&gt;預測IC!DJ$26,1,0)</f>
        <v/>
      </c>
      <c r="DK18" s="11">
        <f>IF(預測IC!DK18&gt;預測IC!DK$26,1,0)</f>
        <v/>
      </c>
      <c r="DL18" s="11">
        <f>IF(預測IC!DL18&gt;預測IC!DL$26,1,0)</f>
        <v/>
      </c>
      <c r="DM18" s="11">
        <f>IF(預測IC!DM18&gt;預測IC!DM$26,1,0)</f>
        <v/>
      </c>
      <c r="DN18" s="11">
        <f>IF(預測IC!DN18&gt;預測IC!DN$26,1,0)</f>
        <v/>
      </c>
      <c r="DO18" s="11">
        <f>IF(預測IC!DO18&gt;預測IC!DO$26,1,0)</f>
        <v/>
      </c>
      <c r="DP18" s="11">
        <f>IF(預測IC!DP18&gt;預測IC!DP$26,1,0)</f>
        <v/>
      </c>
      <c r="DQ18" s="11">
        <f>IF(預測IC!DQ18&gt;預測IC!DQ$26,1,0)</f>
        <v/>
      </c>
      <c r="DR18" s="11">
        <f>IF(預測IC!DR18&gt;預測IC!DR$26,1,0)</f>
        <v/>
      </c>
      <c r="DS18" s="11">
        <f>IF(預測IC!DS18&gt;預測IC!DS$26,1,0)</f>
        <v/>
      </c>
      <c r="DT18" s="11">
        <f>IF(預測IC!DT18&gt;預測IC!DT$26,1,0)</f>
        <v/>
      </c>
      <c r="DU18" s="11">
        <f>IF(預測IC!DU18&gt;預測IC!DU$26,1,0)</f>
        <v/>
      </c>
      <c r="DV18" s="11">
        <f>IF(預測IC!DV18&gt;預測IC!DV$26,1,0)</f>
        <v/>
      </c>
      <c r="DW18" s="11">
        <f>IF(預測IC!DW18&gt;預測IC!DW$26,1,0)</f>
        <v/>
      </c>
      <c r="DX18" s="11">
        <f>IF(預測IC!DX18&gt;預測IC!DX$26,1,0)</f>
        <v/>
      </c>
      <c r="DY18" s="11">
        <f>IF(預測IC!DY18&gt;預測IC!DY$26,1,0)</f>
        <v/>
      </c>
      <c r="DZ18" s="11">
        <f>IF(預測IC!DZ18&gt;預測IC!DZ$26,1,0)</f>
        <v/>
      </c>
      <c r="EA18" s="11">
        <f>IF(預測IC!EA18&gt;預測IC!EA$26,1,0)</f>
        <v/>
      </c>
      <c r="EB18" s="11">
        <f>IF(預測IC!EB18&gt;預測IC!EB$26,1,0)</f>
        <v/>
      </c>
      <c r="EC18" s="11">
        <f>IF(預測IC!EC18&gt;預測IC!EC$26,1,0)</f>
        <v/>
      </c>
      <c r="ED18" s="11">
        <f>IF(預測IC!ED18&gt;預測IC!ED$26,1,0)</f>
        <v/>
      </c>
      <c r="EE18" s="11">
        <f>IF(預測IC!EE18&gt;預測IC!EE$26,1,0)</f>
        <v/>
      </c>
      <c r="EF18" s="11">
        <f>IF(預測IC!EF18&gt;預測IC!EF$26,1,0)</f>
        <v/>
      </c>
      <c r="EG18" s="23">
        <f>SUM(C18:EF18)</f>
        <v/>
      </c>
      <c r="EH18" s="21">
        <f>SUM(C18:EF18)/134</f>
        <v/>
      </c>
    </row>
    <row r="19" ht="16.2" customFormat="1" customHeight="1" s="8" thickBot="1">
      <c r="A19" s="50" t="n">
        <v>160</v>
      </c>
      <c r="B19" s="50" t="n">
        <v>6</v>
      </c>
      <c r="C19" s="11">
        <f>IF(預測IC!C19&gt;預測IC!C$26,1,0)</f>
        <v/>
      </c>
      <c r="D19" s="11">
        <f>IF(預測IC!D19&gt;預測IC!D$26,1,0)</f>
        <v/>
      </c>
      <c r="E19" s="11">
        <f>IF(預測IC!E19&gt;預測IC!E$26,1,0)</f>
        <v/>
      </c>
      <c r="F19" s="11">
        <f>IF(預測IC!F19&gt;預測IC!F$26,1,0)</f>
        <v/>
      </c>
      <c r="G19" s="11">
        <f>IF(預測IC!G19&gt;預測IC!G$26,1,0)</f>
        <v/>
      </c>
      <c r="H19" s="11">
        <f>IF(預測IC!H19&gt;預測IC!H$26,1,0)</f>
        <v/>
      </c>
      <c r="I19" s="11">
        <f>IF(預測IC!I19&gt;預測IC!I$26,1,0)</f>
        <v/>
      </c>
      <c r="J19" s="11">
        <f>IF(預測IC!J19&gt;預測IC!J$26,1,0)</f>
        <v/>
      </c>
      <c r="K19" s="11">
        <f>IF(預測IC!K19&gt;預測IC!K$26,1,0)</f>
        <v/>
      </c>
      <c r="L19" s="11">
        <f>IF(預測IC!L19&gt;預測IC!L$26,1,0)</f>
        <v/>
      </c>
      <c r="M19" s="11">
        <f>IF(預測IC!M19&gt;預測IC!M$26,1,0)</f>
        <v/>
      </c>
      <c r="N19" s="11">
        <f>IF(預測IC!N19&gt;預測IC!N$26,1,0)</f>
        <v/>
      </c>
      <c r="O19" s="11">
        <f>IF(預測IC!O19&gt;預測IC!O$26,1,0)</f>
        <v/>
      </c>
      <c r="P19" s="11">
        <f>IF(預測IC!P19&gt;預測IC!P$26,1,0)</f>
        <v/>
      </c>
      <c r="Q19" s="11">
        <f>IF(預測IC!Q19&gt;預測IC!Q$26,1,0)</f>
        <v/>
      </c>
      <c r="R19" s="11">
        <f>IF(預測IC!R19&gt;預測IC!R$26,1,0)</f>
        <v/>
      </c>
      <c r="S19" s="11">
        <f>IF(預測IC!S19&gt;預測IC!S$26,1,0)</f>
        <v/>
      </c>
      <c r="T19" s="11">
        <f>IF(預測IC!T19&gt;預測IC!T$26,1,0)</f>
        <v/>
      </c>
      <c r="U19" s="11">
        <f>IF(預測IC!U19&gt;預測IC!U$26,1,0)</f>
        <v/>
      </c>
      <c r="V19" s="11">
        <f>IF(預測IC!V19&gt;預測IC!V$26,1,0)</f>
        <v/>
      </c>
      <c r="W19" s="11">
        <f>IF(預測IC!W19&gt;預測IC!W$26,1,0)</f>
        <v/>
      </c>
      <c r="X19" s="11">
        <f>IF(預測IC!X19&gt;預測IC!X$26,1,0)</f>
        <v/>
      </c>
      <c r="Y19" s="11">
        <f>IF(預測IC!Y19&gt;預測IC!Y$26,1,0)</f>
        <v/>
      </c>
      <c r="Z19" s="11">
        <f>IF(預測IC!Z19&gt;預測IC!Z$26,1,0)</f>
        <v/>
      </c>
      <c r="AA19" s="11">
        <f>IF(預測IC!AA19&gt;預測IC!AA$26,1,0)</f>
        <v/>
      </c>
      <c r="AB19" s="11">
        <f>IF(預測IC!AB19&gt;預測IC!AB$26,1,0)</f>
        <v/>
      </c>
      <c r="AC19" s="11">
        <f>IF(預測IC!AC19&gt;預測IC!AC$26,1,0)</f>
        <v/>
      </c>
      <c r="AD19" s="11">
        <f>IF(預測IC!AD19&gt;預測IC!AD$26,1,0)</f>
        <v/>
      </c>
      <c r="AE19" s="11">
        <f>IF(預測IC!AE19&gt;預測IC!AE$26,1,0)</f>
        <v/>
      </c>
      <c r="AF19" s="11">
        <f>IF(預測IC!AF19&gt;預測IC!AF$26,1,0)</f>
        <v/>
      </c>
      <c r="AG19" s="11">
        <f>IF(預測IC!AG19&gt;預測IC!AG$26,1,0)</f>
        <v/>
      </c>
      <c r="AH19" s="11">
        <f>IF(預測IC!AH19&gt;預測IC!AH$26,1,0)</f>
        <v/>
      </c>
      <c r="AI19" s="11">
        <f>IF(預測IC!AI19&gt;預測IC!AI$26,1,0)</f>
        <v/>
      </c>
      <c r="AJ19" s="11">
        <f>IF(預測IC!AJ19&gt;預測IC!AJ$26,1,0)</f>
        <v/>
      </c>
      <c r="AK19" s="11">
        <f>IF(預測IC!AK19&gt;預測IC!AK$26,1,0)</f>
        <v/>
      </c>
      <c r="AL19" s="11">
        <f>IF(預測IC!AL19&gt;預測IC!AL$26,1,0)</f>
        <v/>
      </c>
      <c r="AM19" s="11">
        <f>IF(預測IC!AM19&gt;預測IC!AM$26,1,0)</f>
        <v/>
      </c>
      <c r="AN19" s="11">
        <f>IF(預測IC!AN19&gt;預測IC!AN$26,1,0)</f>
        <v/>
      </c>
      <c r="AO19" s="11">
        <f>IF(預測IC!AO19&gt;預測IC!AO$26,1,0)</f>
        <v/>
      </c>
      <c r="AP19" s="11">
        <f>IF(預測IC!AP19&gt;預測IC!AP$26,1,0)</f>
        <v/>
      </c>
      <c r="AQ19" s="11">
        <f>IF(預測IC!AQ19&gt;預測IC!AQ$26,1,0)</f>
        <v/>
      </c>
      <c r="AR19" s="11">
        <f>IF(預測IC!AR19&gt;預測IC!AR$26,1,0)</f>
        <v/>
      </c>
      <c r="AS19" s="11">
        <f>IF(預測IC!AS19&gt;預測IC!AS$26,1,0)</f>
        <v/>
      </c>
      <c r="AT19" s="11">
        <f>IF(預測IC!AT19&gt;預測IC!AT$26,1,0)</f>
        <v/>
      </c>
      <c r="AU19" s="11">
        <f>IF(預測IC!AU19&gt;預測IC!AU$26,1,0)</f>
        <v/>
      </c>
      <c r="AV19" s="11">
        <f>IF(預測IC!AV19&gt;預測IC!AV$26,1,0)</f>
        <v/>
      </c>
      <c r="AW19" s="11">
        <f>IF(預測IC!AW19&gt;預測IC!AW$26,1,0)</f>
        <v/>
      </c>
      <c r="AX19" s="11">
        <f>IF(預測IC!AX19&gt;預測IC!AX$26,1,0)</f>
        <v/>
      </c>
      <c r="AY19" s="11">
        <f>IF(預測IC!AY19&gt;預測IC!AY$26,1,0)</f>
        <v/>
      </c>
      <c r="AZ19" s="11">
        <f>IF(預測IC!AZ19&gt;預測IC!AZ$26,1,0)</f>
        <v/>
      </c>
      <c r="BA19" s="11">
        <f>IF(預測IC!BA19&gt;預測IC!BA$26,1,0)</f>
        <v/>
      </c>
      <c r="BB19" s="11">
        <f>IF(預測IC!BB19&gt;預測IC!BB$26,1,0)</f>
        <v/>
      </c>
      <c r="BC19" s="11">
        <f>IF(預測IC!BC19&gt;預測IC!BC$26,1,0)</f>
        <v/>
      </c>
      <c r="BD19" s="11">
        <f>IF(預測IC!BD19&gt;預測IC!BD$26,1,0)</f>
        <v/>
      </c>
      <c r="BE19" s="11">
        <f>IF(預測IC!BE19&gt;預測IC!BE$26,1,0)</f>
        <v/>
      </c>
      <c r="BF19" s="11">
        <f>IF(預測IC!BF19&gt;預測IC!BF$26,1,0)</f>
        <v/>
      </c>
      <c r="BG19" s="11">
        <f>IF(預測IC!BG19&gt;預測IC!BG$26,1,0)</f>
        <v/>
      </c>
      <c r="BH19" s="11">
        <f>IF(預測IC!BH19&gt;預測IC!BH$26,1,0)</f>
        <v/>
      </c>
      <c r="BI19" s="11">
        <f>IF(預測IC!BI19&gt;預測IC!BI$26,1,0)</f>
        <v/>
      </c>
      <c r="BJ19" s="11">
        <f>IF(預測IC!BJ19&gt;預測IC!BJ$26,1,0)</f>
        <v/>
      </c>
      <c r="BK19" s="11">
        <f>IF(預測IC!BK19&gt;預測IC!BK$26,1,0)</f>
        <v/>
      </c>
      <c r="BL19" s="11">
        <f>IF(預測IC!BL19&gt;預測IC!BL$26,1,0)</f>
        <v/>
      </c>
      <c r="BM19" s="11">
        <f>IF(預測IC!BM19&gt;預測IC!BM$26,1,0)</f>
        <v/>
      </c>
      <c r="BN19" s="11">
        <f>IF(預測IC!BN19&gt;預測IC!BN$26,1,0)</f>
        <v/>
      </c>
      <c r="BO19" s="11">
        <f>IF(預測IC!BO19&gt;預測IC!BO$26,1,0)</f>
        <v/>
      </c>
      <c r="BP19" s="11">
        <f>IF(預測IC!BP19&gt;預測IC!BP$26,1,0)</f>
        <v/>
      </c>
      <c r="BQ19" s="11">
        <f>IF(預測IC!BQ19&gt;預測IC!BQ$26,1,0)</f>
        <v/>
      </c>
      <c r="BR19" s="11">
        <f>IF(預測IC!BR19&gt;預測IC!BR$26,1,0)</f>
        <v/>
      </c>
      <c r="BS19" s="11">
        <f>IF(預測IC!BS19&gt;預測IC!BS$26,1,0)</f>
        <v/>
      </c>
      <c r="BT19" s="11">
        <f>IF(預測IC!BT19&gt;預測IC!BT$26,1,0)</f>
        <v/>
      </c>
      <c r="BU19" s="11">
        <f>IF(預測IC!BU19&gt;預測IC!BU$26,1,0)</f>
        <v/>
      </c>
      <c r="BV19" s="11">
        <f>IF(預測IC!BV19&gt;預測IC!BV$26,1,0)</f>
        <v/>
      </c>
      <c r="BW19" s="11">
        <f>IF(預測IC!BW19&gt;預測IC!BW$26,1,0)</f>
        <v/>
      </c>
      <c r="BX19" s="11">
        <f>IF(預測IC!BX19&gt;預測IC!BX$26,1,0)</f>
        <v/>
      </c>
      <c r="BY19" s="11">
        <f>IF(預測IC!BY19&gt;預測IC!BY$26,1,0)</f>
        <v/>
      </c>
      <c r="BZ19" s="11">
        <f>IF(預測IC!BZ19&gt;預測IC!BZ$26,1,0)</f>
        <v/>
      </c>
      <c r="CA19" s="11">
        <f>IF(預測IC!CA19&gt;預測IC!CA$26,1,0)</f>
        <v/>
      </c>
      <c r="CB19" s="11">
        <f>IF(預測IC!CB19&gt;預測IC!CB$26,1,0)</f>
        <v/>
      </c>
      <c r="CC19" s="11">
        <f>IF(預測IC!CC19&gt;預測IC!CC$26,1,0)</f>
        <v/>
      </c>
      <c r="CD19" s="11">
        <f>IF(預測IC!CD19&gt;預測IC!CD$26,1,0)</f>
        <v/>
      </c>
      <c r="CE19" s="11">
        <f>IF(預測IC!CE19&gt;預測IC!CE$26,1,0)</f>
        <v/>
      </c>
      <c r="CF19" s="11">
        <f>IF(預測IC!CF19&gt;預測IC!CF$26,1,0)</f>
        <v/>
      </c>
      <c r="CG19" s="11">
        <f>IF(預測IC!CG19&gt;預測IC!CG$26,1,0)</f>
        <v/>
      </c>
      <c r="CH19" s="11">
        <f>IF(預測IC!CH19&gt;預測IC!CH$26,1,0)</f>
        <v/>
      </c>
      <c r="CI19" s="11">
        <f>IF(預測IC!CI19&gt;預測IC!CI$26,1,0)</f>
        <v/>
      </c>
      <c r="CJ19" s="11">
        <f>IF(預測IC!CJ19&gt;預測IC!CJ$26,1,0)</f>
        <v/>
      </c>
      <c r="CK19" s="11">
        <f>IF(預測IC!CK19&gt;預測IC!CK$26,1,0)</f>
        <v/>
      </c>
      <c r="CL19" s="11">
        <f>IF(預測IC!CL19&gt;預測IC!CL$26,1,0)</f>
        <v/>
      </c>
      <c r="CM19" s="11">
        <f>IF(預測IC!CM19&gt;預測IC!CM$26,1,0)</f>
        <v/>
      </c>
      <c r="CN19" s="11">
        <f>IF(預測IC!CN19&gt;預測IC!CN$26,1,0)</f>
        <v/>
      </c>
      <c r="CO19" s="11">
        <f>IF(預測IC!CO19&gt;預測IC!CO$26,1,0)</f>
        <v/>
      </c>
      <c r="CP19" s="11">
        <f>IF(預測IC!CP19&gt;預測IC!CP$26,1,0)</f>
        <v/>
      </c>
      <c r="CQ19" s="11">
        <f>IF(預測IC!CQ19&gt;預測IC!CQ$26,1,0)</f>
        <v/>
      </c>
      <c r="CR19" s="11">
        <f>IF(預測IC!CR19&gt;預測IC!CR$26,1,0)</f>
        <v/>
      </c>
      <c r="CS19" s="11">
        <f>IF(預測IC!CS19&gt;預測IC!CS$26,1,0)</f>
        <v/>
      </c>
      <c r="CT19" s="11">
        <f>IF(預測IC!CT19&gt;預測IC!CT$26,1,0)</f>
        <v/>
      </c>
      <c r="CU19" s="11">
        <f>IF(預測IC!CU19&gt;預測IC!CU$26,1,0)</f>
        <v/>
      </c>
      <c r="CV19" s="11">
        <f>IF(預測IC!CV19&gt;預測IC!CV$26,1,0)</f>
        <v/>
      </c>
      <c r="CW19" s="11">
        <f>IF(預測IC!CW19&gt;預測IC!CW$26,1,0)</f>
        <v/>
      </c>
      <c r="CX19" s="11">
        <f>IF(預測IC!CX19&gt;預測IC!CX$26,1,0)</f>
        <v/>
      </c>
      <c r="CY19" s="11">
        <f>IF(預測IC!CY19&gt;預測IC!CY$26,1,0)</f>
        <v/>
      </c>
      <c r="CZ19" s="11">
        <f>IF(預測IC!CZ19&gt;預測IC!CZ$26,1,0)</f>
        <v/>
      </c>
      <c r="DA19" s="11">
        <f>IF(預測IC!DA19&gt;預測IC!DA$26,1,0)</f>
        <v/>
      </c>
      <c r="DB19" s="11">
        <f>IF(預測IC!DB19&gt;預測IC!DB$26,1,0)</f>
        <v/>
      </c>
      <c r="DC19" s="11">
        <f>IF(預測IC!DC19&gt;預測IC!DC$26,1,0)</f>
        <v/>
      </c>
      <c r="DD19" s="11">
        <f>IF(預測IC!DD19&gt;預測IC!DD$26,1,0)</f>
        <v/>
      </c>
      <c r="DE19" s="11">
        <f>IF(預測IC!DE19&gt;預測IC!DE$26,1,0)</f>
        <v/>
      </c>
      <c r="DF19" s="11">
        <f>IF(預測IC!DF19&gt;預測IC!DF$26,1,0)</f>
        <v/>
      </c>
      <c r="DG19" s="11">
        <f>IF(預測IC!DG19&gt;預測IC!DG$26,1,0)</f>
        <v/>
      </c>
      <c r="DH19" s="11">
        <f>IF(預測IC!DH19&gt;預測IC!DH$26,1,0)</f>
        <v/>
      </c>
      <c r="DI19" s="11">
        <f>IF(預測IC!DI19&gt;預測IC!DI$26,1,0)</f>
        <v/>
      </c>
      <c r="DJ19" s="11">
        <f>IF(預測IC!DJ19&gt;預測IC!DJ$26,1,0)</f>
        <v/>
      </c>
      <c r="DK19" s="11">
        <f>IF(預測IC!DK19&gt;預測IC!DK$26,1,0)</f>
        <v/>
      </c>
      <c r="DL19" s="11">
        <f>IF(預測IC!DL19&gt;預測IC!DL$26,1,0)</f>
        <v/>
      </c>
      <c r="DM19" s="11">
        <f>IF(預測IC!DM19&gt;預測IC!DM$26,1,0)</f>
        <v/>
      </c>
      <c r="DN19" s="11">
        <f>IF(預測IC!DN19&gt;預測IC!DN$26,1,0)</f>
        <v/>
      </c>
      <c r="DO19" s="11">
        <f>IF(預測IC!DO19&gt;預測IC!DO$26,1,0)</f>
        <v/>
      </c>
      <c r="DP19" s="11">
        <f>IF(預測IC!DP19&gt;預測IC!DP$26,1,0)</f>
        <v/>
      </c>
      <c r="DQ19" s="11">
        <f>IF(預測IC!DQ19&gt;預測IC!DQ$26,1,0)</f>
        <v/>
      </c>
      <c r="DR19" s="11">
        <f>IF(預測IC!DR19&gt;預測IC!DR$26,1,0)</f>
        <v/>
      </c>
      <c r="DS19" s="11">
        <f>IF(預測IC!DS19&gt;預測IC!DS$26,1,0)</f>
        <v/>
      </c>
      <c r="DT19" s="11">
        <f>IF(預測IC!DT19&gt;預測IC!DT$26,1,0)</f>
        <v/>
      </c>
      <c r="DU19" s="11">
        <f>IF(預測IC!DU19&gt;預測IC!DU$26,1,0)</f>
        <v/>
      </c>
      <c r="DV19" s="11">
        <f>IF(預測IC!DV19&gt;預測IC!DV$26,1,0)</f>
        <v/>
      </c>
      <c r="DW19" s="11">
        <f>IF(預測IC!DW19&gt;預測IC!DW$26,1,0)</f>
        <v/>
      </c>
      <c r="DX19" s="11">
        <f>IF(預測IC!DX19&gt;預測IC!DX$26,1,0)</f>
        <v/>
      </c>
      <c r="DY19" s="11">
        <f>IF(預測IC!DY19&gt;預測IC!DY$26,1,0)</f>
        <v/>
      </c>
      <c r="DZ19" s="11">
        <f>IF(預測IC!DZ19&gt;預測IC!DZ$26,1,0)</f>
        <v/>
      </c>
      <c r="EA19" s="11">
        <f>IF(預測IC!EA19&gt;預測IC!EA$26,1,0)</f>
        <v/>
      </c>
      <c r="EB19" s="11">
        <f>IF(預測IC!EB19&gt;預測IC!EB$26,1,0)</f>
        <v/>
      </c>
      <c r="EC19" s="11">
        <f>IF(預測IC!EC19&gt;預測IC!EC$26,1,0)</f>
        <v/>
      </c>
      <c r="ED19" s="11">
        <f>IF(預測IC!ED19&gt;預測IC!ED$26,1,0)</f>
        <v/>
      </c>
      <c r="EE19" s="11">
        <f>IF(預測IC!EE19&gt;預測IC!EE$26,1,0)</f>
        <v/>
      </c>
      <c r="EF19" s="11">
        <f>IF(預測IC!EF19&gt;預測IC!EF$26,1,0)</f>
        <v/>
      </c>
      <c r="EG19" s="23">
        <f>SUM(C19:EF19)</f>
        <v/>
      </c>
      <c r="EH19" s="21">
        <f>SUM(C19:EF19)/134</f>
        <v/>
      </c>
      <c r="EI19" s="22" t="n"/>
    </row>
    <row r="20" ht="16.2" customFormat="1" customHeight="1" s="8" thickBot="1">
      <c r="A20" s="50" t="n">
        <v>192</v>
      </c>
      <c r="B20" s="50" t="n">
        <v>5</v>
      </c>
      <c r="C20" s="11">
        <f>IF(預測IC!C20&gt;預測IC!C$26,1,0)</f>
        <v/>
      </c>
      <c r="D20" s="11">
        <f>IF(預測IC!D20&gt;預測IC!D$26,1,0)</f>
        <v/>
      </c>
      <c r="E20" s="11">
        <f>IF(預測IC!E20&gt;預測IC!E$26,1,0)</f>
        <v/>
      </c>
      <c r="F20" s="11">
        <f>IF(預測IC!F20&gt;預測IC!F$26,1,0)</f>
        <v/>
      </c>
      <c r="G20" s="11">
        <f>IF(預測IC!G20&gt;預測IC!G$26,1,0)</f>
        <v/>
      </c>
      <c r="H20" s="11">
        <f>IF(預測IC!H20&gt;預測IC!H$26,1,0)</f>
        <v/>
      </c>
      <c r="I20" s="11">
        <f>IF(預測IC!I20&gt;預測IC!I$26,1,0)</f>
        <v/>
      </c>
      <c r="J20" s="11">
        <f>IF(預測IC!J20&gt;預測IC!J$26,1,0)</f>
        <v/>
      </c>
      <c r="K20" s="11">
        <f>IF(預測IC!K20&gt;預測IC!K$26,1,0)</f>
        <v/>
      </c>
      <c r="L20" s="11">
        <f>IF(預測IC!L20&gt;預測IC!L$26,1,0)</f>
        <v/>
      </c>
      <c r="M20" s="11">
        <f>IF(預測IC!M20&gt;預測IC!M$26,1,0)</f>
        <v/>
      </c>
      <c r="N20" s="11">
        <f>IF(預測IC!N20&gt;預測IC!N$26,1,0)</f>
        <v/>
      </c>
      <c r="O20" s="11">
        <f>IF(預測IC!O20&gt;預測IC!O$26,1,0)</f>
        <v/>
      </c>
      <c r="P20" s="11">
        <f>IF(預測IC!P20&gt;預測IC!P$26,1,0)</f>
        <v/>
      </c>
      <c r="Q20" s="11">
        <f>IF(預測IC!Q20&gt;預測IC!Q$26,1,0)</f>
        <v/>
      </c>
      <c r="R20" s="11">
        <f>IF(預測IC!R20&gt;預測IC!R$26,1,0)</f>
        <v/>
      </c>
      <c r="S20" s="11">
        <f>IF(預測IC!S20&gt;預測IC!S$26,1,0)</f>
        <v/>
      </c>
      <c r="T20" s="11">
        <f>IF(預測IC!T20&gt;預測IC!T$26,1,0)</f>
        <v/>
      </c>
      <c r="U20" s="11">
        <f>IF(預測IC!U20&gt;預測IC!U$26,1,0)</f>
        <v/>
      </c>
      <c r="V20" s="11">
        <f>IF(預測IC!V20&gt;預測IC!V$26,1,0)</f>
        <v/>
      </c>
      <c r="W20" s="11">
        <f>IF(預測IC!W20&gt;預測IC!W$26,1,0)</f>
        <v/>
      </c>
      <c r="X20" s="11">
        <f>IF(預測IC!X20&gt;預測IC!X$26,1,0)</f>
        <v/>
      </c>
      <c r="Y20" s="11">
        <f>IF(預測IC!Y20&gt;預測IC!Y$26,1,0)</f>
        <v/>
      </c>
      <c r="Z20" s="11">
        <f>IF(預測IC!Z20&gt;預測IC!Z$26,1,0)</f>
        <v/>
      </c>
      <c r="AA20" s="11">
        <f>IF(預測IC!AA20&gt;預測IC!AA$26,1,0)</f>
        <v/>
      </c>
      <c r="AB20" s="11">
        <f>IF(預測IC!AB20&gt;預測IC!AB$26,1,0)</f>
        <v/>
      </c>
      <c r="AC20" s="11">
        <f>IF(預測IC!AC20&gt;預測IC!AC$26,1,0)</f>
        <v/>
      </c>
      <c r="AD20" s="11">
        <f>IF(預測IC!AD20&gt;預測IC!AD$26,1,0)</f>
        <v/>
      </c>
      <c r="AE20" s="11">
        <f>IF(預測IC!AE20&gt;預測IC!AE$26,1,0)</f>
        <v/>
      </c>
      <c r="AF20" s="11">
        <f>IF(預測IC!AF20&gt;預測IC!AF$26,1,0)</f>
        <v/>
      </c>
      <c r="AG20" s="11">
        <f>IF(預測IC!AG20&gt;預測IC!AG$26,1,0)</f>
        <v/>
      </c>
      <c r="AH20" s="11">
        <f>IF(預測IC!AH20&gt;預測IC!AH$26,1,0)</f>
        <v/>
      </c>
      <c r="AI20" s="11">
        <f>IF(預測IC!AI20&gt;預測IC!AI$26,1,0)</f>
        <v/>
      </c>
      <c r="AJ20" s="11">
        <f>IF(預測IC!AJ20&gt;預測IC!AJ$26,1,0)</f>
        <v/>
      </c>
      <c r="AK20" s="11">
        <f>IF(預測IC!AK20&gt;預測IC!AK$26,1,0)</f>
        <v/>
      </c>
      <c r="AL20" s="11">
        <f>IF(預測IC!AL20&gt;預測IC!AL$26,1,0)</f>
        <v/>
      </c>
      <c r="AM20" s="11">
        <f>IF(預測IC!AM20&gt;預測IC!AM$26,1,0)</f>
        <v/>
      </c>
      <c r="AN20" s="11">
        <f>IF(預測IC!AN20&gt;預測IC!AN$26,1,0)</f>
        <v/>
      </c>
      <c r="AO20" s="11">
        <f>IF(預測IC!AO20&gt;預測IC!AO$26,1,0)</f>
        <v/>
      </c>
      <c r="AP20" s="11">
        <f>IF(預測IC!AP20&gt;預測IC!AP$26,1,0)</f>
        <v/>
      </c>
      <c r="AQ20" s="11">
        <f>IF(預測IC!AQ20&gt;預測IC!AQ$26,1,0)</f>
        <v/>
      </c>
      <c r="AR20" s="11">
        <f>IF(預測IC!AR20&gt;預測IC!AR$26,1,0)</f>
        <v/>
      </c>
      <c r="AS20" s="11">
        <f>IF(預測IC!AS20&gt;預測IC!AS$26,1,0)</f>
        <v/>
      </c>
      <c r="AT20" s="11">
        <f>IF(預測IC!AT20&gt;預測IC!AT$26,1,0)</f>
        <v/>
      </c>
      <c r="AU20" s="11">
        <f>IF(預測IC!AU20&gt;預測IC!AU$26,1,0)</f>
        <v/>
      </c>
      <c r="AV20" s="11">
        <f>IF(預測IC!AV20&gt;預測IC!AV$26,1,0)</f>
        <v/>
      </c>
      <c r="AW20" s="11">
        <f>IF(預測IC!AW20&gt;預測IC!AW$26,1,0)</f>
        <v/>
      </c>
      <c r="AX20" s="11">
        <f>IF(預測IC!AX20&gt;預測IC!AX$26,1,0)</f>
        <v/>
      </c>
      <c r="AY20" s="11">
        <f>IF(預測IC!AY20&gt;預測IC!AY$26,1,0)</f>
        <v/>
      </c>
      <c r="AZ20" s="11">
        <f>IF(預測IC!AZ20&gt;預測IC!AZ$26,1,0)</f>
        <v/>
      </c>
      <c r="BA20" s="11">
        <f>IF(預測IC!BA20&gt;預測IC!BA$26,1,0)</f>
        <v/>
      </c>
      <c r="BB20" s="11">
        <f>IF(預測IC!BB20&gt;預測IC!BB$26,1,0)</f>
        <v/>
      </c>
      <c r="BC20" s="11">
        <f>IF(預測IC!BC20&gt;預測IC!BC$26,1,0)</f>
        <v/>
      </c>
      <c r="BD20" s="11">
        <f>IF(預測IC!BD20&gt;預測IC!BD$26,1,0)</f>
        <v/>
      </c>
      <c r="BE20" s="11">
        <f>IF(預測IC!BE20&gt;預測IC!BE$26,1,0)</f>
        <v/>
      </c>
      <c r="BF20" s="11">
        <f>IF(預測IC!BF20&gt;預測IC!BF$26,1,0)</f>
        <v/>
      </c>
      <c r="BG20" s="11">
        <f>IF(預測IC!BG20&gt;預測IC!BG$26,1,0)</f>
        <v/>
      </c>
      <c r="BH20" s="11">
        <f>IF(預測IC!BH20&gt;預測IC!BH$26,1,0)</f>
        <v/>
      </c>
      <c r="BI20" s="11">
        <f>IF(預測IC!BI20&gt;預測IC!BI$26,1,0)</f>
        <v/>
      </c>
      <c r="BJ20" s="11">
        <f>IF(預測IC!BJ20&gt;預測IC!BJ$26,1,0)</f>
        <v/>
      </c>
      <c r="BK20" s="11">
        <f>IF(預測IC!BK20&gt;預測IC!BK$26,1,0)</f>
        <v/>
      </c>
      <c r="BL20" s="11">
        <f>IF(預測IC!BL20&gt;預測IC!BL$26,1,0)</f>
        <v/>
      </c>
      <c r="BM20" s="11">
        <f>IF(預測IC!BM20&gt;預測IC!BM$26,1,0)</f>
        <v/>
      </c>
      <c r="BN20" s="11">
        <f>IF(預測IC!BN20&gt;預測IC!BN$26,1,0)</f>
        <v/>
      </c>
      <c r="BO20" s="11">
        <f>IF(預測IC!BO20&gt;預測IC!BO$26,1,0)</f>
        <v/>
      </c>
      <c r="BP20" s="11">
        <f>IF(預測IC!BP20&gt;預測IC!BP$26,1,0)</f>
        <v/>
      </c>
      <c r="BQ20" s="11">
        <f>IF(預測IC!BQ20&gt;預測IC!BQ$26,1,0)</f>
        <v/>
      </c>
      <c r="BR20" s="11">
        <f>IF(預測IC!BR20&gt;預測IC!BR$26,1,0)</f>
        <v/>
      </c>
      <c r="BS20" s="11">
        <f>IF(預測IC!BS20&gt;預測IC!BS$26,1,0)</f>
        <v/>
      </c>
      <c r="BT20" s="11">
        <f>IF(預測IC!BT20&gt;預測IC!BT$26,1,0)</f>
        <v/>
      </c>
      <c r="BU20" s="11">
        <f>IF(預測IC!BU20&gt;預測IC!BU$26,1,0)</f>
        <v/>
      </c>
      <c r="BV20" s="11">
        <f>IF(預測IC!BV20&gt;預測IC!BV$26,1,0)</f>
        <v/>
      </c>
      <c r="BW20" s="11">
        <f>IF(預測IC!BW20&gt;預測IC!BW$26,1,0)</f>
        <v/>
      </c>
      <c r="BX20" s="11">
        <f>IF(預測IC!BX20&gt;預測IC!BX$26,1,0)</f>
        <v/>
      </c>
      <c r="BY20" s="11">
        <f>IF(預測IC!BY20&gt;預測IC!BY$26,1,0)</f>
        <v/>
      </c>
      <c r="BZ20" s="11">
        <f>IF(預測IC!BZ20&gt;預測IC!BZ$26,1,0)</f>
        <v/>
      </c>
      <c r="CA20" s="11">
        <f>IF(預測IC!CA20&gt;預測IC!CA$26,1,0)</f>
        <v/>
      </c>
      <c r="CB20" s="11">
        <f>IF(預測IC!CB20&gt;預測IC!CB$26,1,0)</f>
        <v/>
      </c>
      <c r="CC20" s="11">
        <f>IF(預測IC!CC20&gt;預測IC!CC$26,1,0)</f>
        <v/>
      </c>
      <c r="CD20" s="11">
        <f>IF(預測IC!CD20&gt;預測IC!CD$26,1,0)</f>
        <v/>
      </c>
      <c r="CE20" s="11">
        <f>IF(預測IC!CE20&gt;預測IC!CE$26,1,0)</f>
        <v/>
      </c>
      <c r="CF20" s="11">
        <f>IF(預測IC!CF20&gt;預測IC!CF$26,1,0)</f>
        <v/>
      </c>
      <c r="CG20" s="11">
        <f>IF(預測IC!CG20&gt;預測IC!CG$26,1,0)</f>
        <v/>
      </c>
      <c r="CH20" s="11">
        <f>IF(預測IC!CH20&gt;預測IC!CH$26,1,0)</f>
        <v/>
      </c>
      <c r="CI20" s="11">
        <f>IF(預測IC!CI20&gt;預測IC!CI$26,1,0)</f>
        <v/>
      </c>
      <c r="CJ20" s="11">
        <f>IF(預測IC!CJ20&gt;預測IC!CJ$26,1,0)</f>
        <v/>
      </c>
      <c r="CK20" s="11">
        <f>IF(預測IC!CK20&gt;預測IC!CK$26,1,0)</f>
        <v/>
      </c>
      <c r="CL20" s="11">
        <f>IF(預測IC!CL20&gt;預測IC!CL$26,1,0)</f>
        <v/>
      </c>
      <c r="CM20" s="11">
        <f>IF(預測IC!CM20&gt;預測IC!CM$26,1,0)</f>
        <v/>
      </c>
      <c r="CN20" s="11">
        <f>IF(預測IC!CN20&gt;預測IC!CN$26,1,0)</f>
        <v/>
      </c>
      <c r="CO20" s="11">
        <f>IF(預測IC!CO20&gt;預測IC!CO$26,1,0)</f>
        <v/>
      </c>
      <c r="CP20" s="11">
        <f>IF(預測IC!CP20&gt;預測IC!CP$26,1,0)</f>
        <v/>
      </c>
      <c r="CQ20" s="11">
        <f>IF(預測IC!CQ20&gt;預測IC!CQ$26,1,0)</f>
        <v/>
      </c>
      <c r="CR20" s="11">
        <f>IF(預測IC!CR20&gt;預測IC!CR$26,1,0)</f>
        <v/>
      </c>
      <c r="CS20" s="11">
        <f>IF(預測IC!CS20&gt;預測IC!CS$26,1,0)</f>
        <v/>
      </c>
      <c r="CT20" s="11">
        <f>IF(預測IC!CT20&gt;預測IC!CT$26,1,0)</f>
        <v/>
      </c>
      <c r="CU20" s="11">
        <f>IF(預測IC!CU20&gt;預測IC!CU$26,1,0)</f>
        <v/>
      </c>
      <c r="CV20" s="11">
        <f>IF(預測IC!CV20&gt;預測IC!CV$26,1,0)</f>
        <v/>
      </c>
      <c r="CW20" s="11">
        <f>IF(預測IC!CW20&gt;預測IC!CW$26,1,0)</f>
        <v/>
      </c>
      <c r="CX20" s="11">
        <f>IF(預測IC!CX20&gt;預測IC!CX$26,1,0)</f>
        <v/>
      </c>
      <c r="CY20" s="11">
        <f>IF(預測IC!CY20&gt;預測IC!CY$26,1,0)</f>
        <v/>
      </c>
      <c r="CZ20" s="11">
        <f>IF(預測IC!CZ20&gt;預測IC!CZ$26,1,0)</f>
        <v/>
      </c>
      <c r="DA20" s="11">
        <f>IF(預測IC!DA20&gt;預測IC!DA$26,1,0)</f>
        <v/>
      </c>
      <c r="DB20" s="11">
        <f>IF(預測IC!DB20&gt;預測IC!DB$26,1,0)</f>
        <v/>
      </c>
      <c r="DC20" s="11">
        <f>IF(預測IC!DC20&gt;預測IC!DC$26,1,0)</f>
        <v/>
      </c>
      <c r="DD20" s="11">
        <f>IF(預測IC!DD20&gt;預測IC!DD$26,1,0)</f>
        <v/>
      </c>
      <c r="DE20" s="11">
        <f>IF(預測IC!DE20&gt;預測IC!DE$26,1,0)</f>
        <v/>
      </c>
      <c r="DF20" s="11">
        <f>IF(預測IC!DF20&gt;預測IC!DF$26,1,0)</f>
        <v/>
      </c>
      <c r="DG20" s="11">
        <f>IF(預測IC!DG20&gt;預測IC!DG$26,1,0)</f>
        <v/>
      </c>
      <c r="DH20" s="11">
        <f>IF(預測IC!DH20&gt;預測IC!DH$26,1,0)</f>
        <v/>
      </c>
      <c r="DI20" s="11">
        <f>IF(預測IC!DI20&gt;預測IC!DI$26,1,0)</f>
        <v/>
      </c>
      <c r="DJ20" s="11">
        <f>IF(預測IC!DJ20&gt;預測IC!DJ$26,1,0)</f>
        <v/>
      </c>
      <c r="DK20" s="11">
        <f>IF(預測IC!DK20&gt;預測IC!DK$26,1,0)</f>
        <v/>
      </c>
      <c r="DL20" s="11">
        <f>IF(預測IC!DL20&gt;預測IC!DL$26,1,0)</f>
        <v/>
      </c>
      <c r="DM20" s="11">
        <f>IF(預測IC!DM20&gt;預測IC!DM$26,1,0)</f>
        <v/>
      </c>
      <c r="DN20" s="11">
        <f>IF(預測IC!DN20&gt;預測IC!DN$26,1,0)</f>
        <v/>
      </c>
      <c r="DO20" s="11">
        <f>IF(預測IC!DO20&gt;預測IC!DO$26,1,0)</f>
        <v/>
      </c>
      <c r="DP20" s="11">
        <f>IF(預測IC!DP20&gt;預測IC!DP$26,1,0)</f>
        <v/>
      </c>
      <c r="DQ20" s="11">
        <f>IF(預測IC!DQ20&gt;預測IC!DQ$26,1,0)</f>
        <v/>
      </c>
      <c r="DR20" s="11">
        <f>IF(預測IC!DR20&gt;預測IC!DR$26,1,0)</f>
        <v/>
      </c>
      <c r="DS20" s="11">
        <f>IF(預測IC!DS20&gt;預測IC!DS$26,1,0)</f>
        <v/>
      </c>
      <c r="DT20" s="11">
        <f>IF(預測IC!DT20&gt;預測IC!DT$26,1,0)</f>
        <v/>
      </c>
      <c r="DU20" s="11">
        <f>IF(預測IC!DU20&gt;預測IC!DU$26,1,0)</f>
        <v/>
      </c>
      <c r="DV20" s="11">
        <f>IF(預測IC!DV20&gt;預測IC!DV$26,1,0)</f>
        <v/>
      </c>
      <c r="DW20" s="11">
        <f>IF(預測IC!DW20&gt;預測IC!DW$26,1,0)</f>
        <v/>
      </c>
      <c r="DX20" s="11">
        <f>IF(預測IC!DX20&gt;預測IC!DX$26,1,0)</f>
        <v/>
      </c>
      <c r="DY20" s="11">
        <f>IF(預測IC!DY20&gt;預測IC!DY$26,1,0)</f>
        <v/>
      </c>
      <c r="DZ20" s="11">
        <f>IF(預測IC!DZ20&gt;預測IC!DZ$26,1,0)</f>
        <v/>
      </c>
      <c r="EA20" s="11">
        <f>IF(預測IC!EA20&gt;預測IC!EA$26,1,0)</f>
        <v/>
      </c>
      <c r="EB20" s="11">
        <f>IF(預測IC!EB20&gt;預測IC!EB$26,1,0)</f>
        <v/>
      </c>
      <c r="EC20" s="11">
        <f>IF(預測IC!EC20&gt;預測IC!EC$26,1,0)</f>
        <v/>
      </c>
      <c r="ED20" s="11">
        <f>IF(預測IC!ED20&gt;預測IC!ED$26,1,0)</f>
        <v/>
      </c>
      <c r="EE20" s="11">
        <f>IF(預測IC!EE20&gt;預測IC!EE$26,1,0)</f>
        <v/>
      </c>
      <c r="EF20" s="11">
        <f>IF(預測IC!EF20&gt;預測IC!EF$26,1,0)</f>
        <v/>
      </c>
      <c r="EG20" s="23">
        <f>SUM(C20:EF20)</f>
        <v/>
      </c>
      <c r="EH20" s="27">
        <f>SUM(C20:EF20)/134</f>
        <v/>
      </c>
      <c r="EI20" s="22" t="n"/>
    </row>
    <row r="21" ht="16.2" customFormat="1" customHeight="1" s="8" thickBot="1">
      <c r="A21" s="50" t="n">
        <v>241</v>
      </c>
      <c r="B21" s="50" t="n">
        <v>4</v>
      </c>
      <c r="C21" s="11">
        <f>IF(預測IC!C21&gt;預測IC!C$26,1,0)</f>
        <v/>
      </c>
      <c r="D21" s="11">
        <f>IF(預測IC!D21&gt;預測IC!D$26,1,0)</f>
        <v/>
      </c>
      <c r="E21" s="11">
        <f>IF(預測IC!E21&gt;預測IC!E$26,1,0)</f>
        <v/>
      </c>
      <c r="F21" s="11">
        <f>IF(預測IC!F21&gt;預測IC!F$26,1,0)</f>
        <v/>
      </c>
      <c r="G21" s="11">
        <f>IF(預測IC!G21&gt;預測IC!G$26,1,0)</f>
        <v/>
      </c>
      <c r="H21" s="11">
        <f>IF(預測IC!H21&gt;預測IC!H$26,1,0)</f>
        <v/>
      </c>
      <c r="I21" s="11">
        <f>IF(預測IC!I21&gt;預測IC!I$26,1,0)</f>
        <v/>
      </c>
      <c r="J21" s="11">
        <f>IF(預測IC!J21&gt;預測IC!J$26,1,0)</f>
        <v/>
      </c>
      <c r="K21" s="11">
        <f>IF(預測IC!K21&gt;預測IC!K$26,1,0)</f>
        <v/>
      </c>
      <c r="L21" s="11">
        <f>IF(預測IC!L21&gt;預測IC!L$26,1,0)</f>
        <v/>
      </c>
      <c r="M21" s="11">
        <f>IF(預測IC!M21&gt;預測IC!M$26,1,0)</f>
        <v/>
      </c>
      <c r="N21" s="11">
        <f>IF(預測IC!N21&gt;預測IC!N$26,1,0)</f>
        <v/>
      </c>
      <c r="O21" s="11">
        <f>IF(預測IC!O21&gt;預測IC!O$26,1,0)</f>
        <v/>
      </c>
      <c r="P21" s="11">
        <f>IF(預測IC!P21&gt;預測IC!P$26,1,0)</f>
        <v/>
      </c>
      <c r="Q21" s="11">
        <f>IF(預測IC!Q21&gt;預測IC!Q$26,1,0)</f>
        <v/>
      </c>
      <c r="R21" s="11">
        <f>IF(預測IC!R21&gt;預測IC!R$26,1,0)</f>
        <v/>
      </c>
      <c r="S21" s="11">
        <f>IF(預測IC!S21&gt;預測IC!S$26,1,0)</f>
        <v/>
      </c>
      <c r="T21" s="11">
        <f>IF(預測IC!T21&gt;預測IC!T$26,1,0)</f>
        <v/>
      </c>
      <c r="U21" s="11">
        <f>IF(預測IC!U21&gt;預測IC!U$26,1,0)</f>
        <v/>
      </c>
      <c r="V21" s="11">
        <f>IF(預測IC!V21&gt;預測IC!V$26,1,0)</f>
        <v/>
      </c>
      <c r="W21" s="11">
        <f>IF(預測IC!W21&gt;預測IC!W$26,1,0)</f>
        <v/>
      </c>
      <c r="X21" s="11">
        <f>IF(預測IC!X21&gt;預測IC!X$26,1,0)</f>
        <v/>
      </c>
      <c r="Y21" s="11">
        <f>IF(預測IC!Y21&gt;預測IC!Y$26,1,0)</f>
        <v/>
      </c>
      <c r="Z21" s="11">
        <f>IF(預測IC!Z21&gt;預測IC!Z$26,1,0)</f>
        <v/>
      </c>
      <c r="AA21" s="11">
        <f>IF(預測IC!AA21&gt;預測IC!AA$26,1,0)</f>
        <v/>
      </c>
      <c r="AB21" s="11">
        <f>IF(預測IC!AB21&gt;預測IC!AB$26,1,0)</f>
        <v/>
      </c>
      <c r="AC21" s="11">
        <f>IF(預測IC!AC21&gt;預測IC!AC$26,1,0)</f>
        <v/>
      </c>
      <c r="AD21" s="11">
        <f>IF(預測IC!AD21&gt;預測IC!AD$26,1,0)</f>
        <v/>
      </c>
      <c r="AE21" s="11">
        <f>IF(預測IC!AE21&gt;預測IC!AE$26,1,0)</f>
        <v/>
      </c>
      <c r="AF21" s="11">
        <f>IF(預測IC!AF21&gt;預測IC!AF$26,1,0)</f>
        <v/>
      </c>
      <c r="AG21" s="11">
        <f>IF(預測IC!AG21&gt;預測IC!AG$26,1,0)</f>
        <v/>
      </c>
      <c r="AH21" s="11">
        <f>IF(預測IC!AH21&gt;預測IC!AH$26,1,0)</f>
        <v/>
      </c>
      <c r="AI21" s="11">
        <f>IF(預測IC!AI21&gt;預測IC!AI$26,1,0)</f>
        <v/>
      </c>
      <c r="AJ21" s="11">
        <f>IF(預測IC!AJ21&gt;預測IC!AJ$26,1,0)</f>
        <v/>
      </c>
      <c r="AK21" s="11">
        <f>IF(預測IC!AK21&gt;預測IC!AK$26,1,0)</f>
        <v/>
      </c>
      <c r="AL21" s="11">
        <f>IF(預測IC!AL21&gt;預測IC!AL$26,1,0)</f>
        <v/>
      </c>
      <c r="AM21" s="11">
        <f>IF(預測IC!AM21&gt;預測IC!AM$26,1,0)</f>
        <v/>
      </c>
      <c r="AN21" s="11">
        <f>IF(預測IC!AN21&gt;預測IC!AN$26,1,0)</f>
        <v/>
      </c>
      <c r="AO21" s="11">
        <f>IF(預測IC!AO21&gt;預測IC!AO$26,1,0)</f>
        <v/>
      </c>
      <c r="AP21" s="11">
        <f>IF(預測IC!AP21&gt;預測IC!AP$26,1,0)</f>
        <v/>
      </c>
      <c r="AQ21" s="11">
        <f>IF(預測IC!AQ21&gt;預測IC!AQ$26,1,0)</f>
        <v/>
      </c>
      <c r="AR21" s="11">
        <f>IF(預測IC!AR21&gt;預測IC!AR$26,1,0)</f>
        <v/>
      </c>
      <c r="AS21" s="11">
        <f>IF(預測IC!AS21&gt;預測IC!AS$26,1,0)</f>
        <v/>
      </c>
      <c r="AT21" s="11">
        <f>IF(預測IC!AT21&gt;預測IC!AT$26,1,0)</f>
        <v/>
      </c>
      <c r="AU21" s="11">
        <f>IF(預測IC!AU21&gt;預測IC!AU$26,1,0)</f>
        <v/>
      </c>
      <c r="AV21" s="11">
        <f>IF(預測IC!AV21&gt;預測IC!AV$26,1,0)</f>
        <v/>
      </c>
      <c r="AW21" s="11">
        <f>IF(預測IC!AW21&gt;預測IC!AW$26,1,0)</f>
        <v/>
      </c>
      <c r="AX21" s="11">
        <f>IF(預測IC!AX21&gt;預測IC!AX$26,1,0)</f>
        <v/>
      </c>
      <c r="AY21" s="11">
        <f>IF(預測IC!AY21&gt;預測IC!AY$26,1,0)</f>
        <v/>
      </c>
      <c r="AZ21" s="11">
        <f>IF(預測IC!AZ21&gt;預測IC!AZ$26,1,0)</f>
        <v/>
      </c>
      <c r="BA21" s="11">
        <f>IF(預測IC!BA21&gt;預測IC!BA$26,1,0)</f>
        <v/>
      </c>
      <c r="BB21" s="11">
        <f>IF(預測IC!BB21&gt;預測IC!BB$26,1,0)</f>
        <v/>
      </c>
      <c r="BC21" s="11">
        <f>IF(預測IC!BC21&gt;預測IC!BC$26,1,0)</f>
        <v/>
      </c>
      <c r="BD21" s="11">
        <f>IF(預測IC!BD21&gt;預測IC!BD$26,1,0)</f>
        <v/>
      </c>
      <c r="BE21" s="11">
        <f>IF(預測IC!BE21&gt;預測IC!BE$26,1,0)</f>
        <v/>
      </c>
      <c r="BF21" s="11">
        <f>IF(預測IC!BF21&gt;預測IC!BF$26,1,0)</f>
        <v/>
      </c>
      <c r="BG21" s="11">
        <f>IF(預測IC!BG21&gt;預測IC!BG$26,1,0)</f>
        <v/>
      </c>
      <c r="BH21" s="11">
        <f>IF(預測IC!BH21&gt;預測IC!BH$26,1,0)</f>
        <v/>
      </c>
      <c r="BI21" s="11">
        <f>IF(預測IC!BI21&gt;預測IC!BI$26,1,0)</f>
        <v/>
      </c>
      <c r="BJ21" s="11">
        <f>IF(預測IC!BJ21&gt;預測IC!BJ$26,1,0)</f>
        <v/>
      </c>
      <c r="BK21" s="11">
        <f>IF(預測IC!BK21&gt;預測IC!BK$26,1,0)</f>
        <v/>
      </c>
      <c r="BL21" s="11">
        <f>IF(預測IC!BL21&gt;預測IC!BL$26,1,0)</f>
        <v/>
      </c>
      <c r="BM21" s="11">
        <f>IF(預測IC!BM21&gt;預測IC!BM$26,1,0)</f>
        <v/>
      </c>
      <c r="BN21" s="11">
        <f>IF(預測IC!BN21&gt;預測IC!BN$26,1,0)</f>
        <v/>
      </c>
      <c r="BO21" s="11">
        <f>IF(預測IC!BO21&gt;預測IC!BO$26,1,0)</f>
        <v/>
      </c>
      <c r="BP21" s="11">
        <f>IF(預測IC!BP21&gt;預測IC!BP$26,1,0)</f>
        <v/>
      </c>
      <c r="BQ21" s="11">
        <f>IF(預測IC!BQ21&gt;預測IC!BQ$26,1,0)</f>
        <v/>
      </c>
      <c r="BR21" s="11">
        <f>IF(預測IC!BR21&gt;預測IC!BR$26,1,0)</f>
        <v/>
      </c>
      <c r="BS21" s="11">
        <f>IF(預測IC!BS21&gt;預測IC!BS$26,1,0)</f>
        <v/>
      </c>
      <c r="BT21" s="11">
        <f>IF(預測IC!BT21&gt;預測IC!BT$26,1,0)</f>
        <v/>
      </c>
      <c r="BU21" s="11">
        <f>IF(預測IC!BU21&gt;預測IC!BU$26,1,0)</f>
        <v/>
      </c>
      <c r="BV21" s="11">
        <f>IF(預測IC!BV21&gt;預測IC!BV$26,1,0)</f>
        <v/>
      </c>
      <c r="BW21" s="11">
        <f>IF(預測IC!BW21&gt;預測IC!BW$26,1,0)</f>
        <v/>
      </c>
      <c r="BX21" s="11">
        <f>IF(預測IC!BX21&gt;預測IC!BX$26,1,0)</f>
        <v/>
      </c>
      <c r="BY21" s="11">
        <f>IF(預測IC!BY21&gt;預測IC!BY$26,1,0)</f>
        <v/>
      </c>
      <c r="BZ21" s="11">
        <f>IF(預測IC!BZ21&gt;預測IC!BZ$26,1,0)</f>
        <v/>
      </c>
      <c r="CA21" s="11">
        <f>IF(預測IC!CA21&gt;預測IC!CA$26,1,0)</f>
        <v/>
      </c>
      <c r="CB21" s="11">
        <f>IF(預測IC!CB21&gt;預測IC!CB$26,1,0)</f>
        <v/>
      </c>
      <c r="CC21" s="11">
        <f>IF(預測IC!CC21&gt;預測IC!CC$26,1,0)</f>
        <v/>
      </c>
      <c r="CD21" s="11">
        <f>IF(預測IC!CD21&gt;預測IC!CD$26,1,0)</f>
        <v/>
      </c>
      <c r="CE21" s="11">
        <f>IF(預測IC!CE21&gt;預測IC!CE$26,1,0)</f>
        <v/>
      </c>
      <c r="CF21" s="11">
        <f>IF(預測IC!CF21&gt;預測IC!CF$26,1,0)</f>
        <v/>
      </c>
      <c r="CG21" s="11">
        <f>IF(預測IC!CG21&gt;預測IC!CG$26,1,0)</f>
        <v/>
      </c>
      <c r="CH21" s="11">
        <f>IF(預測IC!CH21&gt;預測IC!CH$26,1,0)</f>
        <v/>
      </c>
      <c r="CI21" s="11">
        <f>IF(預測IC!CI21&gt;預測IC!CI$26,1,0)</f>
        <v/>
      </c>
      <c r="CJ21" s="11">
        <f>IF(預測IC!CJ21&gt;預測IC!CJ$26,1,0)</f>
        <v/>
      </c>
      <c r="CK21" s="11">
        <f>IF(預測IC!CK21&gt;預測IC!CK$26,1,0)</f>
        <v/>
      </c>
      <c r="CL21" s="11">
        <f>IF(預測IC!CL21&gt;預測IC!CL$26,1,0)</f>
        <v/>
      </c>
      <c r="CM21" s="11">
        <f>IF(預測IC!CM21&gt;預測IC!CM$26,1,0)</f>
        <v/>
      </c>
      <c r="CN21" s="11">
        <f>IF(預測IC!CN21&gt;預測IC!CN$26,1,0)</f>
        <v/>
      </c>
      <c r="CO21" s="11">
        <f>IF(預測IC!CO21&gt;預測IC!CO$26,1,0)</f>
        <v/>
      </c>
      <c r="CP21" s="11">
        <f>IF(預測IC!CP21&gt;預測IC!CP$26,1,0)</f>
        <v/>
      </c>
      <c r="CQ21" s="11">
        <f>IF(預測IC!CQ21&gt;預測IC!CQ$26,1,0)</f>
        <v/>
      </c>
      <c r="CR21" s="11">
        <f>IF(預測IC!CR21&gt;預測IC!CR$26,1,0)</f>
        <v/>
      </c>
      <c r="CS21" s="11">
        <f>IF(預測IC!CS21&gt;預測IC!CS$26,1,0)</f>
        <v/>
      </c>
      <c r="CT21" s="11">
        <f>IF(預測IC!CT21&gt;預測IC!CT$26,1,0)</f>
        <v/>
      </c>
      <c r="CU21" s="11">
        <f>IF(預測IC!CU21&gt;預測IC!CU$26,1,0)</f>
        <v/>
      </c>
      <c r="CV21" s="11">
        <f>IF(預測IC!CV21&gt;預測IC!CV$26,1,0)</f>
        <v/>
      </c>
      <c r="CW21" s="11">
        <f>IF(預測IC!CW21&gt;預測IC!CW$26,1,0)</f>
        <v/>
      </c>
      <c r="CX21" s="11">
        <f>IF(預測IC!CX21&gt;預測IC!CX$26,1,0)</f>
        <v/>
      </c>
      <c r="CY21" s="11">
        <f>IF(預測IC!CY21&gt;預測IC!CY$26,1,0)</f>
        <v/>
      </c>
      <c r="CZ21" s="11">
        <f>IF(預測IC!CZ21&gt;預測IC!CZ$26,1,0)</f>
        <v/>
      </c>
      <c r="DA21" s="11">
        <f>IF(預測IC!DA21&gt;預測IC!DA$26,1,0)</f>
        <v/>
      </c>
      <c r="DB21" s="11">
        <f>IF(預測IC!DB21&gt;預測IC!DB$26,1,0)</f>
        <v/>
      </c>
      <c r="DC21" s="11">
        <f>IF(預測IC!DC21&gt;預測IC!DC$26,1,0)</f>
        <v/>
      </c>
      <c r="DD21" s="11">
        <f>IF(預測IC!DD21&gt;預測IC!DD$26,1,0)</f>
        <v/>
      </c>
      <c r="DE21" s="11">
        <f>IF(預測IC!DE21&gt;預測IC!DE$26,1,0)</f>
        <v/>
      </c>
      <c r="DF21" s="11">
        <f>IF(預測IC!DF21&gt;預測IC!DF$26,1,0)</f>
        <v/>
      </c>
      <c r="DG21" s="11">
        <f>IF(預測IC!DG21&gt;預測IC!DG$26,1,0)</f>
        <v/>
      </c>
      <c r="DH21" s="11">
        <f>IF(預測IC!DH21&gt;預測IC!DH$26,1,0)</f>
        <v/>
      </c>
      <c r="DI21" s="11">
        <f>IF(預測IC!DI21&gt;預測IC!DI$26,1,0)</f>
        <v/>
      </c>
      <c r="DJ21" s="11">
        <f>IF(預測IC!DJ21&gt;預測IC!DJ$26,1,0)</f>
        <v/>
      </c>
      <c r="DK21" s="11">
        <f>IF(預測IC!DK21&gt;預測IC!DK$26,1,0)</f>
        <v/>
      </c>
      <c r="DL21" s="11">
        <f>IF(預測IC!DL21&gt;預測IC!DL$26,1,0)</f>
        <v/>
      </c>
      <c r="DM21" s="11">
        <f>IF(預測IC!DM21&gt;預測IC!DM$26,1,0)</f>
        <v/>
      </c>
      <c r="DN21" s="11">
        <f>IF(預測IC!DN21&gt;預測IC!DN$26,1,0)</f>
        <v/>
      </c>
      <c r="DO21" s="11">
        <f>IF(預測IC!DO21&gt;預測IC!DO$26,1,0)</f>
        <v/>
      </c>
      <c r="DP21" s="11">
        <f>IF(預測IC!DP21&gt;預測IC!DP$26,1,0)</f>
        <v/>
      </c>
      <c r="DQ21" s="11">
        <f>IF(預測IC!DQ21&gt;預測IC!DQ$26,1,0)</f>
        <v/>
      </c>
      <c r="DR21" s="11">
        <f>IF(預測IC!DR21&gt;預測IC!DR$26,1,0)</f>
        <v/>
      </c>
      <c r="DS21" s="11">
        <f>IF(預測IC!DS21&gt;預測IC!DS$26,1,0)</f>
        <v/>
      </c>
      <c r="DT21" s="11">
        <f>IF(預測IC!DT21&gt;預測IC!DT$26,1,0)</f>
        <v/>
      </c>
      <c r="DU21" s="11">
        <f>IF(預測IC!DU21&gt;預測IC!DU$26,1,0)</f>
        <v/>
      </c>
      <c r="DV21" s="11">
        <f>IF(預測IC!DV21&gt;預測IC!DV$26,1,0)</f>
        <v/>
      </c>
      <c r="DW21" s="11">
        <f>IF(預測IC!DW21&gt;預測IC!DW$26,1,0)</f>
        <v/>
      </c>
      <c r="DX21" s="11">
        <f>IF(預測IC!DX21&gt;預測IC!DX$26,1,0)</f>
        <v/>
      </c>
      <c r="DY21" s="11">
        <f>IF(預測IC!DY21&gt;預測IC!DY$26,1,0)</f>
        <v/>
      </c>
      <c r="DZ21" s="11">
        <f>IF(預測IC!DZ21&gt;預測IC!DZ$26,1,0)</f>
        <v/>
      </c>
      <c r="EA21" s="11">
        <f>IF(預測IC!EA21&gt;預測IC!EA$26,1,0)</f>
        <v/>
      </c>
      <c r="EB21" s="11">
        <f>IF(預測IC!EB21&gt;預測IC!EB$26,1,0)</f>
        <v/>
      </c>
      <c r="EC21" s="11">
        <f>IF(預測IC!EC21&gt;預測IC!EC$26,1,0)</f>
        <v/>
      </c>
      <c r="ED21" s="11">
        <f>IF(預測IC!ED21&gt;預測IC!ED$26,1,0)</f>
        <v/>
      </c>
      <c r="EE21" s="11">
        <f>IF(預測IC!EE21&gt;預測IC!EE$26,1,0)</f>
        <v/>
      </c>
      <c r="EF21" s="11">
        <f>IF(預測IC!EF21&gt;預測IC!EF$26,1,0)</f>
        <v/>
      </c>
      <c r="EG21" s="25">
        <f>SUM(C21:EF21)</f>
        <v/>
      </c>
      <c r="EH21" s="21">
        <f>SUM(C21:EF21)/134</f>
        <v/>
      </c>
    </row>
    <row r="22" ht="16.2" customFormat="1" customHeight="1" s="8" thickBot="1">
      <c r="A22" s="50" t="n">
        <v>321</v>
      </c>
      <c r="B22" s="50" t="n">
        <v>3</v>
      </c>
      <c r="C22" s="11">
        <f>IF(預測IC!C22&gt;預測IC!C$26,1,0)</f>
        <v/>
      </c>
      <c r="D22" s="11">
        <f>IF(預測IC!D22&gt;預測IC!D$26,1,0)</f>
        <v/>
      </c>
      <c r="E22" s="11">
        <f>IF(預測IC!E22&gt;預測IC!E$26,1,0)</f>
        <v/>
      </c>
      <c r="F22" s="11">
        <f>IF(預測IC!F22&gt;預測IC!F$26,1,0)</f>
        <v/>
      </c>
      <c r="G22" s="11">
        <f>IF(預測IC!G22&gt;預測IC!G$26,1,0)</f>
        <v/>
      </c>
      <c r="H22" s="11">
        <f>IF(預測IC!H22&gt;預測IC!H$26,1,0)</f>
        <v/>
      </c>
      <c r="I22" s="11">
        <f>IF(預測IC!I22&gt;預測IC!I$26,1,0)</f>
        <v/>
      </c>
      <c r="J22" s="11">
        <f>IF(預測IC!J22&gt;預測IC!J$26,1,0)</f>
        <v/>
      </c>
      <c r="K22" s="11">
        <f>IF(預測IC!K22&gt;預測IC!K$26,1,0)</f>
        <v/>
      </c>
      <c r="L22" s="11">
        <f>IF(預測IC!L22&gt;預測IC!L$26,1,0)</f>
        <v/>
      </c>
      <c r="M22" s="11">
        <f>IF(預測IC!M22&gt;預測IC!M$26,1,0)</f>
        <v/>
      </c>
      <c r="N22" s="11">
        <f>IF(預測IC!N22&gt;預測IC!N$26,1,0)</f>
        <v/>
      </c>
      <c r="O22" s="11">
        <f>IF(預測IC!O22&gt;預測IC!O$26,1,0)</f>
        <v/>
      </c>
      <c r="P22" s="11">
        <f>IF(預測IC!P22&gt;預測IC!P$26,1,0)</f>
        <v/>
      </c>
      <c r="Q22" s="11">
        <f>IF(預測IC!Q22&gt;預測IC!Q$26,1,0)</f>
        <v/>
      </c>
      <c r="R22" s="11">
        <f>IF(預測IC!R22&gt;預測IC!R$26,1,0)</f>
        <v/>
      </c>
      <c r="S22" s="11">
        <f>IF(預測IC!S22&gt;預測IC!S$26,1,0)</f>
        <v/>
      </c>
      <c r="T22" s="11">
        <f>IF(預測IC!T22&gt;預測IC!T$26,1,0)</f>
        <v/>
      </c>
      <c r="U22" s="11">
        <f>IF(預測IC!U22&gt;預測IC!U$26,1,0)</f>
        <v/>
      </c>
      <c r="V22" s="11">
        <f>IF(預測IC!V22&gt;預測IC!V$26,1,0)</f>
        <v/>
      </c>
      <c r="W22" s="11">
        <f>IF(預測IC!W22&gt;預測IC!W$26,1,0)</f>
        <v/>
      </c>
      <c r="X22" s="11">
        <f>IF(預測IC!X22&gt;預測IC!X$26,1,0)</f>
        <v/>
      </c>
      <c r="Y22" s="11">
        <f>IF(預測IC!Y22&gt;預測IC!Y$26,1,0)</f>
        <v/>
      </c>
      <c r="Z22" s="11">
        <f>IF(預測IC!Z22&gt;預測IC!Z$26,1,0)</f>
        <v/>
      </c>
      <c r="AA22" s="11">
        <f>IF(預測IC!AA22&gt;預測IC!AA$26,1,0)</f>
        <v/>
      </c>
      <c r="AB22" s="11">
        <f>IF(預測IC!AB22&gt;預測IC!AB$26,1,0)</f>
        <v/>
      </c>
      <c r="AC22" s="11">
        <f>IF(預測IC!AC22&gt;預測IC!AC$26,1,0)</f>
        <v/>
      </c>
      <c r="AD22" s="11">
        <f>IF(預測IC!AD22&gt;預測IC!AD$26,1,0)</f>
        <v/>
      </c>
      <c r="AE22" s="11">
        <f>IF(預測IC!AE22&gt;預測IC!AE$26,1,0)</f>
        <v/>
      </c>
      <c r="AF22" s="11">
        <f>IF(預測IC!AF22&gt;預測IC!AF$26,1,0)</f>
        <v/>
      </c>
      <c r="AG22" s="11">
        <f>IF(預測IC!AG22&gt;預測IC!AG$26,1,0)</f>
        <v/>
      </c>
      <c r="AH22" s="11">
        <f>IF(預測IC!AH22&gt;預測IC!AH$26,1,0)</f>
        <v/>
      </c>
      <c r="AI22" s="11">
        <f>IF(預測IC!AI22&gt;預測IC!AI$26,1,0)</f>
        <v/>
      </c>
      <c r="AJ22" s="11">
        <f>IF(預測IC!AJ22&gt;預測IC!AJ$26,1,0)</f>
        <v/>
      </c>
      <c r="AK22" s="11">
        <f>IF(預測IC!AK22&gt;預測IC!AK$26,1,0)</f>
        <v/>
      </c>
      <c r="AL22" s="11">
        <f>IF(預測IC!AL22&gt;預測IC!AL$26,1,0)</f>
        <v/>
      </c>
      <c r="AM22" s="11">
        <f>IF(預測IC!AM22&gt;預測IC!AM$26,1,0)</f>
        <v/>
      </c>
      <c r="AN22" s="11">
        <f>IF(預測IC!AN22&gt;預測IC!AN$26,1,0)</f>
        <v/>
      </c>
      <c r="AO22" s="11">
        <f>IF(預測IC!AO22&gt;預測IC!AO$26,1,0)</f>
        <v/>
      </c>
      <c r="AP22" s="11">
        <f>IF(預測IC!AP22&gt;預測IC!AP$26,1,0)</f>
        <v/>
      </c>
      <c r="AQ22" s="11">
        <f>IF(預測IC!AQ22&gt;預測IC!AQ$26,1,0)</f>
        <v/>
      </c>
      <c r="AR22" s="11">
        <f>IF(預測IC!AR22&gt;預測IC!AR$26,1,0)</f>
        <v/>
      </c>
      <c r="AS22" s="11">
        <f>IF(預測IC!AS22&gt;預測IC!AS$26,1,0)</f>
        <v/>
      </c>
      <c r="AT22" s="11">
        <f>IF(預測IC!AT22&gt;預測IC!AT$26,1,0)</f>
        <v/>
      </c>
      <c r="AU22" s="11">
        <f>IF(預測IC!AU22&gt;預測IC!AU$26,1,0)</f>
        <v/>
      </c>
      <c r="AV22" s="11">
        <f>IF(預測IC!AV22&gt;預測IC!AV$26,1,0)</f>
        <v/>
      </c>
      <c r="AW22" s="11">
        <f>IF(預測IC!AW22&gt;預測IC!AW$26,1,0)</f>
        <v/>
      </c>
      <c r="AX22" s="11">
        <f>IF(預測IC!AX22&gt;預測IC!AX$26,1,0)</f>
        <v/>
      </c>
      <c r="AY22" s="11">
        <f>IF(預測IC!AY22&gt;預測IC!AY$26,1,0)</f>
        <v/>
      </c>
      <c r="AZ22" s="11">
        <f>IF(預測IC!AZ22&gt;預測IC!AZ$26,1,0)</f>
        <v/>
      </c>
      <c r="BA22" s="11">
        <f>IF(預測IC!BA22&gt;預測IC!BA$26,1,0)</f>
        <v/>
      </c>
      <c r="BB22" s="11">
        <f>IF(預測IC!BB22&gt;預測IC!BB$26,1,0)</f>
        <v/>
      </c>
      <c r="BC22" s="11">
        <f>IF(預測IC!BC22&gt;預測IC!BC$26,1,0)</f>
        <v/>
      </c>
      <c r="BD22" s="11">
        <f>IF(預測IC!BD22&gt;預測IC!BD$26,1,0)</f>
        <v/>
      </c>
      <c r="BE22" s="11">
        <f>IF(預測IC!BE22&gt;預測IC!BE$26,1,0)</f>
        <v/>
      </c>
      <c r="BF22" s="11">
        <f>IF(預測IC!BF22&gt;預測IC!BF$26,1,0)</f>
        <v/>
      </c>
      <c r="BG22" s="11">
        <f>IF(預測IC!BG22&gt;預測IC!BG$26,1,0)</f>
        <v/>
      </c>
      <c r="BH22" s="11">
        <f>IF(預測IC!BH22&gt;預測IC!BH$26,1,0)</f>
        <v/>
      </c>
      <c r="BI22" s="11">
        <f>IF(預測IC!BI22&gt;預測IC!BI$26,1,0)</f>
        <v/>
      </c>
      <c r="BJ22" s="11">
        <f>IF(預測IC!BJ22&gt;預測IC!BJ$26,1,0)</f>
        <v/>
      </c>
      <c r="BK22" s="11">
        <f>IF(預測IC!BK22&gt;預測IC!BK$26,1,0)</f>
        <v/>
      </c>
      <c r="BL22" s="11">
        <f>IF(預測IC!BL22&gt;預測IC!BL$26,1,0)</f>
        <v/>
      </c>
      <c r="BM22" s="11">
        <f>IF(預測IC!BM22&gt;預測IC!BM$26,1,0)</f>
        <v/>
      </c>
      <c r="BN22" s="11">
        <f>IF(預測IC!BN22&gt;預測IC!BN$26,1,0)</f>
        <v/>
      </c>
      <c r="BO22" s="11">
        <f>IF(預測IC!BO22&gt;預測IC!BO$26,1,0)</f>
        <v/>
      </c>
      <c r="BP22" s="11">
        <f>IF(預測IC!BP22&gt;預測IC!BP$26,1,0)</f>
        <v/>
      </c>
      <c r="BQ22" s="11">
        <f>IF(預測IC!BQ22&gt;預測IC!BQ$26,1,0)</f>
        <v/>
      </c>
      <c r="BR22" s="11">
        <f>IF(預測IC!BR22&gt;預測IC!BR$26,1,0)</f>
        <v/>
      </c>
      <c r="BS22" s="11">
        <f>IF(預測IC!BS22&gt;預測IC!BS$26,1,0)</f>
        <v/>
      </c>
      <c r="BT22" s="11">
        <f>IF(預測IC!BT22&gt;預測IC!BT$26,1,0)</f>
        <v/>
      </c>
      <c r="BU22" s="11">
        <f>IF(預測IC!BU22&gt;預測IC!BU$26,1,0)</f>
        <v/>
      </c>
      <c r="BV22" s="11">
        <f>IF(預測IC!BV22&gt;預測IC!BV$26,1,0)</f>
        <v/>
      </c>
      <c r="BW22" s="11">
        <f>IF(預測IC!BW22&gt;預測IC!BW$26,1,0)</f>
        <v/>
      </c>
      <c r="BX22" s="11">
        <f>IF(預測IC!BX22&gt;預測IC!BX$26,1,0)</f>
        <v/>
      </c>
      <c r="BY22" s="11">
        <f>IF(預測IC!BY22&gt;預測IC!BY$26,1,0)</f>
        <v/>
      </c>
      <c r="BZ22" s="11">
        <f>IF(預測IC!BZ22&gt;預測IC!BZ$26,1,0)</f>
        <v/>
      </c>
      <c r="CA22" s="11">
        <f>IF(預測IC!CA22&gt;預測IC!CA$26,1,0)</f>
        <v/>
      </c>
      <c r="CB22" s="11">
        <f>IF(預測IC!CB22&gt;預測IC!CB$26,1,0)</f>
        <v/>
      </c>
      <c r="CC22" s="11">
        <f>IF(預測IC!CC22&gt;預測IC!CC$26,1,0)</f>
        <v/>
      </c>
      <c r="CD22" s="11">
        <f>IF(預測IC!CD22&gt;預測IC!CD$26,1,0)</f>
        <v/>
      </c>
      <c r="CE22" s="11">
        <f>IF(預測IC!CE22&gt;預測IC!CE$26,1,0)</f>
        <v/>
      </c>
      <c r="CF22" s="11">
        <f>IF(預測IC!CF22&gt;預測IC!CF$26,1,0)</f>
        <v/>
      </c>
      <c r="CG22" s="11">
        <f>IF(預測IC!CG22&gt;預測IC!CG$26,1,0)</f>
        <v/>
      </c>
      <c r="CH22" s="11">
        <f>IF(預測IC!CH22&gt;預測IC!CH$26,1,0)</f>
        <v/>
      </c>
      <c r="CI22" s="11">
        <f>IF(預測IC!CI22&gt;預測IC!CI$26,1,0)</f>
        <v/>
      </c>
      <c r="CJ22" s="11">
        <f>IF(預測IC!CJ22&gt;預測IC!CJ$26,1,0)</f>
        <v/>
      </c>
      <c r="CK22" s="11">
        <f>IF(預測IC!CK22&gt;預測IC!CK$26,1,0)</f>
        <v/>
      </c>
      <c r="CL22" s="11">
        <f>IF(預測IC!CL22&gt;預測IC!CL$26,1,0)</f>
        <v/>
      </c>
      <c r="CM22" s="11">
        <f>IF(預測IC!CM22&gt;預測IC!CM$26,1,0)</f>
        <v/>
      </c>
      <c r="CN22" s="11">
        <f>IF(預測IC!CN22&gt;預測IC!CN$26,1,0)</f>
        <v/>
      </c>
      <c r="CO22" s="11">
        <f>IF(預測IC!CO22&gt;預測IC!CO$26,1,0)</f>
        <v/>
      </c>
      <c r="CP22" s="11">
        <f>IF(預測IC!CP22&gt;預測IC!CP$26,1,0)</f>
        <v/>
      </c>
      <c r="CQ22" s="11">
        <f>IF(預測IC!CQ22&gt;預測IC!CQ$26,1,0)</f>
        <v/>
      </c>
      <c r="CR22" s="11">
        <f>IF(預測IC!CR22&gt;預測IC!CR$26,1,0)</f>
        <v/>
      </c>
      <c r="CS22" s="11">
        <f>IF(預測IC!CS22&gt;預測IC!CS$26,1,0)</f>
        <v/>
      </c>
      <c r="CT22" s="11">
        <f>IF(預測IC!CT22&gt;預測IC!CT$26,1,0)</f>
        <v/>
      </c>
      <c r="CU22" s="11">
        <f>IF(預測IC!CU22&gt;預測IC!CU$26,1,0)</f>
        <v/>
      </c>
      <c r="CV22" s="11">
        <f>IF(預測IC!CV22&gt;預測IC!CV$26,1,0)</f>
        <v/>
      </c>
      <c r="CW22" s="11">
        <f>IF(預測IC!CW22&gt;預測IC!CW$26,1,0)</f>
        <v/>
      </c>
      <c r="CX22" s="11">
        <f>IF(預測IC!CX22&gt;預測IC!CX$26,1,0)</f>
        <v/>
      </c>
      <c r="CY22" s="11">
        <f>IF(預測IC!CY22&gt;預測IC!CY$26,1,0)</f>
        <v/>
      </c>
      <c r="CZ22" s="11">
        <f>IF(預測IC!CZ22&gt;預測IC!CZ$26,1,0)</f>
        <v/>
      </c>
      <c r="DA22" s="11">
        <f>IF(預測IC!DA22&gt;預測IC!DA$26,1,0)</f>
        <v/>
      </c>
      <c r="DB22" s="11">
        <f>IF(預測IC!DB22&gt;預測IC!DB$26,1,0)</f>
        <v/>
      </c>
      <c r="DC22" s="11">
        <f>IF(預測IC!DC22&gt;預測IC!DC$26,1,0)</f>
        <v/>
      </c>
      <c r="DD22" s="11">
        <f>IF(預測IC!DD22&gt;預測IC!DD$26,1,0)</f>
        <v/>
      </c>
      <c r="DE22" s="11">
        <f>IF(預測IC!DE22&gt;預測IC!DE$26,1,0)</f>
        <v/>
      </c>
      <c r="DF22" s="11">
        <f>IF(預測IC!DF22&gt;預測IC!DF$26,1,0)</f>
        <v/>
      </c>
      <c r="DG22" s="11">
        <f>IF(預測IC!DG22&gt;預測IC!DG$26,1,0)</f>
        <v/>
      </c>
      <c r="DH22" s="11">
        <f>IF(預測IC!DH22&gt;預測IC!DH$26,1,0)</f>
        <v/>
      </c>
      <c r="DI22" s="11">
        <f>IF(預測IC!DI22&gt;預測IC!DI$26,1,0)</f>
        <v/>
      </c>
      <c r="DJ22" s="11">
        <f>IF(預測IC!DJ22&gt;預測IC!DJ$26,1,0)</f>
        <v/>
      </c>
      <c r="DK22" s="11">
        <f>IF(預測IC!DK22&gt;預測IC!DK$26,1,0)</f>
        <v/>
      </c>
      <c r="DL22" s="11">
        <f>IF(預測IC!DL22&gt;預測IC!DL$26,1,0)</f>
        <v/>
      </c>
      <c r="DM22" s="11">
        <f>IF(預測IC!DM22&gt;預測IC!DM$26,1,0)</f>
        <v/>
      </c>
      <c r="DN22" s="11">
        <f>IF(預測IC!DN22&gt;預測IC!DN$26,1,0)</f>
        <v/>
      </c>
      <c r="DO22" s="11">
        <f>IF(預測IC!DO22&gt;預測IC!DO$26,1,0)</f>
        <v/>
      </c>
      <c r="DP22" s="11">
        <f>IF(預測IC!DP22&gt;預測IC!DP$26,1,0)</f>
        <v/>
      </c>
      <c r="DQ22" s="11">
        <f>IF(預測IC!DQ22&gt;預測IC!DQ$26,1,0)</f>
        <v/>
      </c>
      <c r="DR22" s="11">
        <f>IF(預測IC!DR22&gt;預測IC!DR$26,1,0)</f>
        <v/>
      </c>
      <c r="DS22" s="11">
        <f>IF(預測IC!DS22&gt;預測IC!DS$26,1,0)</f>
        <v/>
      </c>
      <c r="DT22" s="11">
        <f>IF(預測IC!DT22&gt;預測IC!DT$26,1,0)</f>
        <v/>
      </c>
      <c r="DU22" s="11">
        <f>IF(預測IC!DU22&gt;預測IC!DU$26,1,0)</f>
        <v/>
      </c>
      <c r="DV22" s="11">
        <f>IF(預測IC!DV22&gt;預測IC!DV$26,1,0)</f>
        <v/>
      </c>
      <c r="DW22" s="11">
        <f>IF(預測IC!DW22&gt;預測IC!DW$26,1,0)</f>
        <v/>
      </c>
      <c r="DX22" s="11">
        <f>IF(預測IC!DX22&gt;預測IC!DX$26,1,0)</f>
        <v/>
      </c>
      <c r="DY22" s="11">
        <f>IF(預測IC!DY22&gt;預測IC!DY$26,1,0)</f>
        <v/>
      </c>
      <c r="DZ22" s="11">
        <f>IF(預測IC!DZ22&gt;預測IC!DZ$26,1,0)</f>
        <v/>
      </c>
      <c r="EA22" s="11">
        <f>IF(預測IC!EA22&gt;預測IC!EA$26,1,0)</f>
        <v/>
      </c>
      <c r="EB22" s="11">
        <f>IF(預測IC!EB22&gt;預測IC!EB$26,1,0)</f>
        <v/>
      </c>
      <c r="EC22" s="11">
        <f>IF(預測IC!EC22&gt;預測IC!EC$26,1,0)</f>
        <v/>
      </c>
      <c r="ED22" s="11">
        <f>IF(預測IC!ED22&gt;預測IC!ED$26,1,0)</f>
        <v/>
      </c>
      <c r="EE22" s="11">
        <f>IF(預測IC!EE22&gt;預測IC!EE$26,1,0)</f>
        <v/>
      </c>
      <c r="EF22" s="11">
        <f>IF(預測IC!EF22&gt;預測IC!EF$26,1,0)</f>
        <v/>
      </c>
      <c r="EG22" s="22">
        <f>SUM(C22:EF22)</f>
        <v/>
      </c>
      <c r="EH22" s="26">
        <f>SUM(C22:EF22)/134</f>
        <v/>
      </c>
      <c r="EI22" s="22" t="n"/>
    </row>
    <row r="23" ht="16.2" customFormat="1" customHeight="1" s="8" thickBot="1">
      <c r="A23" s="50" t="n">
        <v>482</v>
      </c>
      <c r="B23" s="50" t="n">
        <v>2</v>
      </c>
      <c r="C23" s="11">
        <f>IF(預測IC!C23&gt;預測IC!C$26,1,0)</f>
        <v/>
      </c>
      <c r="D23" s="11">
        <f>IF(預測IC!D23&gt;預測IC!D$26,1,0)</f>
        <v/>
      </c>
      <c r="E23" s="11">
        <f>IF(預測IC!E23&gt;預測IC!E$26,1,0)</f>
        <v/>
      </c>
      <c r="F23" s="11">
        <f>IF(預測IC!F23&gt;預測IC!F$26,1,0)</f>
        <v/>
      </c>
      <c r="G23" s="11">
        <f>IF(預測IC!G23&gt;預測IC!G$26,1,0)</f>
        <v/>
      </c>
      <c r="H23" s="11">
        <f>IF(預測IC!H23&gt;預測IC!H$26,1,0)</f>
        <v/>
      </c>
      <c r="I23" s="11">
        <f>IF(預測IC!I23&gt;預測IC!I$26,1,0)</f>
        <v/>
      </c>
      <c r="J23" s="11">
        <f>IF(預測IC!J23&gt;預測IC!J$26,1,0)</f>
        <v/>
      </c>
      <c r="K23" s="11">
        <f>IF(預測IC!K23&gt;預測IC!K$26,1,0)</f>
        <v/>
      </c>
      <c r="L23" s="11">
        <f>IF(預測IC!L23&gt;預測IC!L$26,1,0)</f>
        <v/>
      </c>
      <c r="M23" s="11">
        <f>IF(預測IC!M23&gt;預測IC!M$26,1,0)</f>
        <v/>
      </c>
      <c r="N23" s="11">
        <f>IF(預測IC!N23&gt;預測IC!N$26,1,0)</f>
        <v/>
      </c>
      <c r="O23" s="11">
        <f>IF(預測IC!O23&gt;預測IC!O$26,1,0)</f>
        <v/>
      </c>
      <c r="P23" s="11">
        <f>IF(預測IC!P23&gt;預測IC!P$26,1,0)</f>
        <v/>
      </c>
      <c r="Q23" s="11">
        <f>IF(預測IC!Q23&gt;預測IC!Q$26,1,0)</f>
        <v/>
      </c>
      <c r="R23" s="11">
        <f>IF(預測IC!R23&gt;預測IC!R$26,1,0)</f>
        <v/>
      </c>
      <c r="S23" s="11">
        <f>IF(預測IC!S23&gt;預測IC!S$26,1,0)</f>
        <v/>
      </c>
      <c r="T23" s="11">
        <f>IF(預測IC!T23&gt;預測IC!T$26,1,0)</f>
        <v/>
      </c>
      <c r="U23" s="11">
        <f>IF(預測IC!U23&gt;預測IC!U$26,1,0)</f>
        <v/>
      </c>
      <c r="V23" s="11">
        <f>IF(預測IC!V23&gt;預測IC!V$26,1,0)</f>
        <v/>
      </c>
      <c r="W23" s="11">
        <f>IF(預測IC!W23&gt;預測IC!W$26,1,0)</f>
        <v/>
      </c>
      <c r="X23" s="11">
        <f>IF(預測IC!X23&gt;預測IC!X$26,1,0)</f>
        <v/>
      </c>
      <c r="Y23" s="11">
        <f>IF(預測IC!Y23&gt;預測IC!Y$26,1,0)</f>
        <v/>
      </c>
      <c r="Z23" s="11">
        <f>IF(預測IC!Z23&gt;預測IC!Z$26,1,0)</f>
        <v/>
      </c>
      <c r="AA23" s="11">
        <f>IF(預測IC!AA23&gt;預測IC!AA$26,1,0)</f>
        <v/>
      </c>
      <c r="AB23" s="11">
        <f>IF(預測IC!AB23&gt;預測IC!AB$26,1,0)</f>
        <v/>
      </c>
      <c r="AC23" s="11">
        <f>IF(預測IC!AC23&gt;預測IC!AC$26,1,0)</f>
        <v/>
      </c>
      <c r="AD23" s="11">
        <f>IF(預測IC!AD23&gt;預測IC!AD$26,1,0)</f>
        <v/>
      </c>
      <c r="AE23" s="11">
        <f>IF(預測IC!AE23&gt;預測IC!AE$26,1,0)</f>
        <v/>
      </c>
      <c r="AF23" s="11">
        <f>IF(預測IC!AF23&gt;預測IC!AF$26,1,0)</f>
        <v/>
      </c>
      <c r="AG23" s="11">
        <f>IF(預測IC!AG23&gt;預測IC!AG$26,1,0)</f>
        <v/>
      </c>
      <c r="AH23" s="11">
        <f>IF(預測IC!AH23&gt;預測IC!AH$26,1,0)</f>
        <v/>
      </c>
      <c r="AI23" s="11">
        <f>IF(預測IC!AI23&gt;預測IC!AI$26,1,0)</f>
        <v/>
      </c>
      <c r="AJ23" s="11">
        <f>IF(預測IC!AJ23&gt;預測IC!AJ$26,1,0)</f>
        <v/>
      </c>
      <c r="AK23" s="11">
        <f>IF(預測IC!AK23&gt;預測IC!AK$26,1,0)</f>
        <v/>
      </c>
      <c r="AL23" s="11">
        <f>IF(預測IC!AL23&gt;預測IC!AL$26,1,0)</f>
        <v/>
      </c>
      <c r="AM23" s="11">
        <f>IF(預測IC!AM23&gt;預測IC!AM$26,1,0)</f>
        <v/>
      </c>
      <c r="AN23" s="11">
        <f>IF(預測IC!AN23&gt;預測IC!AN$26,1,0)</f>
        <v/>
      </c>
      <c r="AO23" s="11">
        <f>IF(預測IC!AO23&gt;預測IC!AO$26,1,0)</f>
        <v/>
      </c>
      <c r="AP23" s="11">
        <f>IF(預測IC!AP23&gt;預測IC!AP$26,1,0)</f>
        <v/>
      </c>
      <c r="AQ23" s="11">
        <f>IF(預測IC!AQ23&gt;預測IC!AQ$26,1,0)</f>
        <v/>
      </c>
      <c r="AR23" s="11">
        <f>IF(預測IC!AR23&gt;預測IC!AR$26,1,0)</f>
        <v/>
      </c>
      <c r="AS23" s="11">
        <f>IF(預測IC!AS23&gt;預測IC!AS$26,1,0)</f>
        <v/>
      </c>
      <c r="AT23" s="11">
        <f>IF(預測IC!AT23&gt;預測IC!AT$26,1,0)</f>
        <v/>
      </c>
      <c r="AU23" s="11">
        <f>IF(預測IC!AU23&gt;預測IC!AU$26,1,0)</f>
        <v/>
      </c>
      <c r="AV23" s="11">
        <f>IF(預測IC!AV23&gt;預測IC!AV$26,1,0)</f>
        <v/>
      </c>
      <c r="AW23" s="11">
        <f>IF(預測IC!AW23&gt;預測IC!AW$26,1,0)</f>
        <v/>
      </c>
      <c r="AX23" s="11">
        <f>IF(預測IC!AX23&gt;預測IC!AX$26,1,0)</f>
        <v/>
      </c>
      <c r="AY23" s="11">
        <f>IF(預測IC!AY23&gt;預測IC!AY$26,1,0)</f>
        <v/>
      </c>
      <c r="AZ23" s="11">
        <f>IF(預測IC!AZ23&gt;預測IC!AZ$26,1,0)</f>
        <v/>
      </c>
      <c r="BA23" s="11">
        <f>IF(預測IC!BA23&gt;預測IC!BA$26,1,0)</f>
        <v/>
      </c>
      <c r="BB23" s="11">
        <f>IF(預測IC!BB23&gt;預測IC!BB$26,1,0)</f>
        <v/>
      </c>
      <c r="BC23" s="11">
        <f>IF(預測IC!BC23&gt;預測IC!BC$26,1,0)</f>
        <v/>
      </c>
      <c r="BD23" s="11">
        <f>IF(預測IC!BD23&gt;預測IC!BD$26,1,0)</f>
        <v/>
      </c>
      <c r="BE23" s="11">
        <f>IF(預測IC!BE23&gt;預測IC!BE$26,1,0)</f>
        <v/>
      </c>
      <c r="BF23" s="11">
        <f>IF(預測IC!BF23&gt;預測IC!BF$26,1,0)</f>
        <v/>
      </c>
      <c r="BG23" s="11">
        <f>IF(預測IC!BG23&gt;預測IC!BG$26,1,0)</f>
        <v/>
      </c>
      <c r="BH23" s="11">
        <f>IF(預測IC!BH23&gt;預測IC!BH$26,1,0)</f>
        <v/>
      </c>
      <c r="BI23" s="11">
        <f>IF(預測IC!BI23&gt;預測IC!BI$26,1,0)</f>
        <v/>
      </c>
      <c r="BJ23" s="11">
        <f>IF(預測IC!BJ23&gt;預測IC!BJ$26,1,0)</f>
        <v/>
      </c>
      <c r="BK23" s="11">
        <f>IF(預測IC!BK23&gt;預測IC!BK$26,1,0)</f>
        <v/>
      </c>
      <c r="BL23" s="11">
        <f>IF(預測IC!BL23&gt;預測IC!BL$26,1,0)</f>
        <v/>
      </c>
      <c r="BM23" s="11">
        <f>IF(預測IC!BM23&gt;預測IC!BM$26,1,0)</f>
        <v/>
      </c>
      <c r="BN23" s="11">
        <f>IF(預測IC!BN23&gt;預測IC!BN$26,1,0)</f>
        <v/>
      </c>
      <c r="BO23" s="11">
        <f>IF(預測IC!BO23&gt;預測IC!BO$26,1,0)</f>
        <v/>
      </c>
      <c r="BP23" s="11">
        <f>IF(預測IC!BP23&gt;預測IC!BP$26,1,0)</f>
        <v/>
      </c>
      <c r="BQ23" s="11">
        <f>IF(預測IC!BQ23&gt;預測IC!BQ$26,1,0)</f>
        <v/>
      </c>
      <c r="BR23" s="11">
        <f>IF(預測IC!BR23&gt;預測IC!BR$26,1,0)</f>
        <v/>
      </c>
      <c r="BS23" s="11">
        <f>IF(預測IC!BS23&gt;預測IC!BS$26,1,0)</f>
        <v/>
      </c>
      <c r="BT23" s="11">
        <f>IF(預測IC!BT23&gt;預測IC!BT$26,1,0)</f>
        <v/>
      </c>
      <c r="BU23" s="11">
        <f>IF(預測IC!BU23&gt;預測IC!BU$26,1,0)</f>
        <v/>
      </c>
      <c r="BV23" s="11">
        <f>IF(預測IC!BV23&gt;預測IC!BV$26,1,0)</f>
        <v/>
      </c>
      <c r="BW23" s="11">
        <f>IF(預測IC!BW23&gt;預測IC!BW$26,1,0)</f>
        <v/>
      </c>
      <c r="BX23" s="11">
        <f>IF(預測IC!BX23&gt;預測IC!BX$26,1,0)</f>
        <v/>
      </c>
      <c r="BY23" s="11">
        <f>IF(預測IC!BY23&gt;預測IC!BY$26,1,0)</f>
        <v/>
      </c>
      <c r="BZ23" s="11">
        <f>IF(預測IC!BZ23&gt;預測IC!BZ$26,1,0)</f>
        <v/>
      </c>
      <c r="CA23" s="11">
        <f>IF(預測IC!CA23&gt;預測IC!CA$26,1,0)</f>
        <v/>
      </c>
      <c r="CB23" s="11">
        <f>IF(預測IC!CB23&gt;預測IC!CB$26,1,0)</f>
        <v/>
      </c>
      <c r="CC23" s="11">
        <f>IF(預測IC!CC23&gt;預測IC!CC$26,1,0)</f>
        <v/>
      </c>
      <c r="CD23" s="11">
        <f>IF(預測IC!CD23&gt;預測IC!CD$26,1,0)</f>
        <v/>
      </c>
      <c r="CE23" s="11">
        <f>IF(預測IC!CE23&gt;預測IC!CE$26,1,0)</f>
        <v/>
      </c>
      <c r="CF23" s="11">
        <f>IF(預測IC!CF23&gt;預測IC!CF$26,1,0)</f>
        <v/>
      </c>
      <c r="CG23" s="11">
        <f>IF(預測IC!CG23&gt;預測IC!CG$26,1,0)</f>
        <v/>
      </c>
      <c r="CH23" s="11">
        <f>IF(預測IC!CH23&gt;預測IC!CH$26,1,0)</f>
        <v/>
      </c>
      <c r="CI23" s="11">
        <f>IF(預測IC!CI23&gt;預測IC!CI$26,1,0)</f>
        <v/>
      </c>
      <c r="CJ23" s="11">
        <f>IF(預測IC!CJ23&gt;預測IC!CJ$26,1,0)</f>
        <v/>
      </c>
      <c r="CK23" s="11">
        <f>IF(預測IC!CK23&gt;預測IC!CK$26,1,0)</f>
        <v/>
      </c>
      <c r="CL23" s="11">
        <f>IF(預測IC!CL23&gt;預測IC!CL$26,1,0)</f>
        <v/>
      </c>
      <c r="CM23" s="11">
        <f>IF(預測IC!CM23&gt;預測IC!CM$26,1,0)</f>
        <v/>
      </c>
      <c r="CN23" s="11">
        <f>IF(預測IC!CN23&gt;預測IC!CN$26,1,0)</f>
        <v/>
      </c>
      <c r="CO23" s="11">
        <f>IF(預測IC!CO23&gt;預測IC!CO$26,1,0)</f>
        <v/>
      </c>
      <c r="CP23" s="11">
        <f>IF(預測IC!CP23&gt;預測IC!CP$26,1,0)</f>
        <v/>
      </c>
      <c r="CQ23" s="11">
        <f>IF(預測IC!CQ23&gt;預測IC!CQ$26,1,0)</f>
        <v/>
      </c>
      <c r="CR23" s="11">
        <f>IF(預測IC!CR23&gt;預測IC!CR$26,1,0)</f>
        <v/>
      </c>
      <c r="CS23" s="11">
        <f>IF(預測IC!CS23&gt;預測IC!CS$26,1,0)</f>
        <v/>
      </c>
      <c r="CT23" s="11">
        <f>IF(預測IC!CT23&gt;預測IC!CT$26,1,0)</f>
        <v/>
      </c>
      <c r="CU23" s="11">
        <f>IF(預測IC!CU23&gt;預測IC!CU$26,1,0)</f>
        <v/>
      </c>
      <c r="CV23" s="11">
        <f>IF(預測IC!CV23&gt;預測IC!CV$26,1,0)</f>
        <v/>
      </c>
      <c r="CW23" s="11">
        <f>IF(預測IC!CW23&gt;預測IC!CW$26,1,0)</f>
        <v/>
      </c>
      <c r="CX23" s="11">
        <f>IF(預測IC!CX23&gt;預測IC!CX$26,1,0)</f>
        <v/>
      </c>
      <c r="CY23" s="11">
        <f>IF(預測IC!CY23&gt;預測IC!CY$26,1,0)</f>
        <v/>
      </c>
      <c r="CZ23" s="11">
        <f>IF(預測IC!CZ23&gt;預測IC!CZ$26,1,0)</f>
        <v/>
      </c>
      <c r="DA23" s="11">
        <f>IF(預測IC!DA23&gt;預測IC!DA$26,1,0)</f>
        <v/>
      </c>
      <c r="DB23" s="11">
        <f>IF(預測IC!DB23&gt;預測IC!DB$26,1,0)</f>
        <v/>
      </c>
      <c r="DC23" s="11">
        <f>IF(預測IC!DC23&gt;預測IC!DC$26,1,0)</f>
        <v/>
      </c>
      <c r="DD23" s="11">
        <f>IF(預測IC!DD23&gt;預測IC!DD$26,1,0)</f>
        <v/>
      </c>
      <c r="DE23" s="11">
        <f>IF(預測IC!DE23&gt;預測IC!DE$26,1,0)</f>
        <v/>
      </c>
      <c r="DF23" s="11">
        <f>IF(預測IC!DF23&gt;預測IC!DF$26,1,0)</f>
        <v/>
      </c>
      <c r="DG23" s="11">
        <f>IF(預測IC!DG23&gt;預測IC!DG$26,1,0)</f>
        <v/>
      </c>
      <c r="DH23" s="11">
        <f>IF(預測IC!DH23&gt;預測IC!DH$26,1,0)</f>
        <v/>
      </c>
      <c r="DI23" s="11">
        <f>IF(預測IC!DI23&gt;預測IC!DI$26,1,0)</f>
        <v/>
      </c>
      <c r="DJ23" s="11">
        <f>IF(預測IC!DJ23&gt;預測IC!DJ$26,1,0)</f>
        <v/>
      </c>
      <c r="DK23" s="11">
        <f>IF(預測IC!DK23&gt;預測IC!DK$26,1,0)</f>
        <v/>
      </c>
      <c r="DL23" s="11">
        <f>IF(預測IC!DL23&gt;預測IC!DL$26,1,0)</f>
        <v/>
      </c>
      <c r="DM23" s="11">
        <f>IF(預測IC!DM23&gt;預測IC!DM$26,1,0)</f>
        <v/>
      </c>
      <c r="DN23" s="11">
        <f>IF(預測IC!DN23&gt;預測IC!DN$26,1,0)</f>
        <v/>
      </c>
      <c r="DO23" s="11">
        <f>IF(預測IC!DO23&gt;預測IC!DO$26,1,0)</f>
        <v/>
      </c>
      <c r="DP23" s="11">
        <f>IF(預測IC!DP23&gt;預測IC!DP$26,1,0)</f>
        <v/>
      </c>
      <c r="DQ23" s="11">
        <f>IF(預測IC!DQ23&gt;預測IC!DQ$26,1,0)</f>
        <v/>
      </c>
      <c r="DR23" s="11">
        <f>IF(預測IC!DR23&gt;預測IC!DR$26,1,0)</f>
        <v/>
      </c>
      <c r="DS23" s="11">
        <f>IF(預測IC!DS23&gt;預測IC!DS$26,1,0)</f>
        <v/>
      </c>
      <c r="DT23" s="11">
        <f>IF(預測IC!DT23&gt;預測IC!DT$26,1,0)</f>
        <v/>
      </c>
      <c r="DU23" s="11">
        <f>IF(預測IC!DU23&gt;預測IC!DU$26,1,0)</f>
        <v/>
      </c>
      <c r="DV23" s="11">
        <f>IF(預測IC!DV23&gt;預測IC!DV$26,1,0)</f>
        <v/>
      </c>
      <c r="DW23" s="11">
        <f>IF(預測IC!DW23&gt;預測IC!DW$26,1,0)</f>
        <v/>
      </c>
      <c r="DX23" s="11">
        <f>IF(預測IC!DX23&gt;預測IC!DX$26,1,0)</f>
        <v/>
      </c>
      <c r="DY23" s="11">
        <f>IF(預測IC!DY23&gt;預測IC!DY$26,1,0)</f>
        <v/>
      </c>
      <c r="DZ23" s="11">
        <f>IF(預測IC!DZ23&gt;預測IC!DZ$26,1,0)</f>
        <v/>
      </c>
      <c r="EA23" s="11">
        <f>IF(預測IC!EA23&gt;預測IC!EA$26,1,0)</f>
        <v/>
      </c>
      <c r="EB23" s="11">
        <f>IF(預測IC!EB23&gt;預測IC!EB$26,1,0)</f>
        <v/>
      </c>
      <c r="EC23" s="11">
        <f>IF(預測IC!EC23&gt;預測IC!EC$26,1,0)</f>
        <v/>
      </c>
      <c r="ED23" s="11">
        <f>IF(預測IC!ED23&gt;預測IC!ED$26,1,0)</f>
        <v/>
      </c>
      <c r="EE23" s="11">
        <f>IF(預測IC!EE23&gt;預測IC!EE$26,1,0)</f>
        <v/>
      </c>
      <c r="EF23" s="11">
        <f>IF(預測IC!EF23&gt;預測IC!EF$26,1,0)</f>
        <v/>
      </c>
      <c r="EG23" s="25">
        <f>SUM(C23:EF23)</f>
        <v/>
      </c>
      <c r="EH23" s="21">
        <f>SUM(C23:EF23)/134</f>
        <v/>
      </c>
      <c r="EI23" s="22" t="n"/>
    </row>
    <row r="24" ht="16.2" customFormat="1" customHeight="1" s="8" thickBot="1">
      <c r="A24" s="50" t="n">
        <v>964</v>
      </c>
      <c r="B24" s="50" t="n">
        <v>1</v>
      </c>
      <c r="C24" s="11">
        <f>IF(預測IC!C24&gt;預測IC!C$26,1,0)</f>
        <v/>
      </c>
      <c r="D24" s="11">
        <f>IF(預測IC!D24&gt;預測IC!D$26,1,0)</f>
        <v/>
      </c>
      <c r="E24" s="11">
        <f>IF(預測IC!E24&gt;預測IC!E$26,1,0)</f>
        <v/>
      </c>
      <c r="F24" s="11">
        <f>IF(預測IC!F24&gt;預測IC!F$26,1,0)</f>
        <v/>
      </c>
      <c r="G24" s="11">
        <f>IF(預測IC!G24&gt;預測IC!G$26,1,0)</f>
        <v/>
      </c>
      <c r="H24" s="11">
        <f>IF(預測IC!H24&gt;預測IC!H$26,1,0)</f>
        <v/>
      </c>
      <c r="I24" s="11">
        <f>IF(預測IC!I24&gt;預測IC!I$26,1,0)</f>
        <v/>
      </c>
      <c r="J24" s="11">
        <f>IF(預測IC!J24&gt;預測IC!J$26,1,0)</f>
        <v/>
      </c>
      <c r="K24" s="11">
        <f>IF(預測IC!K24&gt;預測IC!K$26,1,0)</f>
        <v/>
      </c>
      <c r="L24" s="11">
        <f>IF(預測IC!L24&gt;預測IC!L$26,1,0)</f>
        <v/>
      </c>
      <c r="M24" s="11">
        <f>IF(預測IC!M24&gt;預測IC!M$26,1,0)</f>
        <v/>
      </c>
      <c r="N24" s="11">
        <f>IF(預測IC!N24&gt;預測IC!N$26,1,0)</f>
        <v/>
      </c>
      <c r="O24" s="11">
        <f>IF(預測IC!O24&gt;預測IC!O$26,1,0)</f>
        <v/>
      </c>
      <c r="P24" s="11">
        <f>IF(預測IC!P24&gt;預測IC!P$26,1,0)</f>
        <v/>
      </c>
      <c r="Q24" s="11">
        <f>IF(預測IC!Q24&gt;預測IC!Q$26,1,0)</f>
        <v/>
      </c>
      <c r="R24" s="11">
        <f>IF(預測IC!R24&gt;預測IC!R$26,1,0)</f>
        <v/>
      </c>
      <c r="S24" s="11">
        <f>IF(預測IC!S24&gt;預測IC!S$26,1,0)</f>
        <v/>
      </c>
      <c r="T24" s="11">
        <f>IF(預測IC!T24&gt;預測IC!T$26,1,0)</f>
        <v/>
      </c>
      <c r="U24" s="11">
        <f>IF(預測IC!U24&gt;預測IC!U$26,1,0)</f>
        <v/>
      </c>
      <c r="V24" s="11">
        <f>IF(預測IC!V24&gt;預測IC!V$26,1,0)</f>
        <v/>
      </c>
      <c r="W24" s="11">
        <f>IF(預測IC!W24&gt;預測IC!W$26,1,0)</f>
        <v/>
      </c>
      <c r="X24" s="11">
        <f>IF(預測IC!X24&gt;預測IC!X$26,1,0)</f>
        <v/>
      </c>
      <c r="Y24" s="11">
        <f>IF(預測IC!Y24&gt;預測IC!Y$26,1,0)</f>
        <v/>
      </c>
      <c r="Z24" s="11">
        <f>IF(預測IC!Z24&gt;預測IC!Z$26,1,0)</f>
        <v/>
      </c>
      <c r="AA24" s="11">
        <f>IF(預測IC!AA24&gt;預測IC!AA$26,1,0)</f>
        <v/>
      </c>
      <c r="AB24" s="11">
        <f>IF(預測IC!AB24&gt;預測IC!AB$26,1,0)</f>
        <v/>
      </c>
      <c r="AC24" s="11">
        <f>IF(預測IC!AC24&gt;預測IC!AC$26,1,0)</f>
        <v/>
      </c>
      <c r="AD24" s="11">
        <f>IF(預測IC!AD24&gt;預測IC!AD$26,1,0)</f>
        <v/>
      </c>
      <c r="AE24" s="11">
        <f>IF(預測IC!AE24&gt;預測IC!AE$26,1,0)</f>
        <v/>
      </c>
      <c r="AF24" s="11">
        <f>IF(預測IC!AF24&gt;預測IC!AF$26,1,0)</f>
        <v/>
      </c>
      <c r="AG24" s="11">
        <f>IF(預測IC!AG24&gt;預測IC!AG$26,1,0)</f>
        <v/>
      </c>
      <c r="AH24" s="11">
        <f>IF(預測IC!AH24&gt;預測IC!AH$26,1,0)</f>
        <v/>
      </c>
      <c r="AI24" s="11">
        <f>IF(預測IC!AI24&gt;預測IC!AI$26,1,0)</f>
        <v/>
      </c>
      <c r="AJ24" s="11">
        <f>IF(預測IC!AJ24&gt;預測IC!AJ$26,1,0)</f>
        <v/>
      </c>
      <c r="AK24" s="11">
        <f>IF(預測IC!AK24&gt;預測IC!AK$26,1,0)</f>
        <v/>
      </c>
      <c r="AL24" s="11">
        <f>IF(預測IC!AL24&gt;預測IC!AL$26,1,0)</f>
        <v/>
      </c>
      <c r="AM24" s="11">
        <f>IF(預測IC!AM24&gt;預測IC!AM$26,1,0)</f>
        <v/>
      </c>
      <c r="AN24" s="11">
        <f>IF(預測IC!AN24&gt;預測IC!AN$26,1,0)</f>
        <v/>
      </c>
      <c r="AO24" s="11">
        <f>IF(預測IC!AO24&gt;預測IC!AO$26,1,0)</f>
        <v/>
      </c>
      <c r="AP24" s="11">
        <f>IF(預測IC!AP24&gt;預測IC!AP$26,1,0)</f>
        <v/>
      </c>
      <c r="AQ24" s="11">
        <f>IF(預測IC!AQ24&gt;預測IC!AQ$26,1,0)</f>
        <v/>
      </c>
      <c r="AR24" s="11">
        <f>IF(預測IC!AR24&gt;預測IC!AR$26,1,0)</f>
        <v/>
      </c>
      <c r="AS24" s="11">
        <f>IF(預測IC!AS24&gt;預測IC!AS$26,1,0)</f>
        <v/>
      </c>
      <c r="AT24" s="11">
        <f>IF(預測IC!AT24&gt;預測IC!AT$26,1,0)</f>
        <v/>
      </c>
      <c r="AU24" s="11">
        <f>IF(預測IC!AU24&gt;預測IC!AU$26,1,0)</f>
        <v/>
      </c>
      <c r="AV24" s="11">
        <f>IF(預測IC!AV24&gt;預測IC!AV$26,1,0)</f>
        <v/>
      </c>
      <c r="AW24" s="11">
        <f>IF(預測IC!AW24&gt;預測IC!AW$26,1,0)</f>
        <v/>
      </c>
      <c r="AX24" s="11">
        <f>IF(預測IC!AX24&gt;預測IC!AX$26,1,0)</f>
        <v/>
      </c>
      <c r="AY24" s="11">
        <f>IF(預測IC!AY24&gt;預測IC!AY$26,1,0)</f>
        <v/>
      </c>
      <c r="AZ24" s="11">
        <f>IF(預測IC!AZ24&gt;預測IC!AZ$26,1,0)</f>
        <v/>
      </c>
      <c r="BA24" s="11">
        <f>IF(預測IC!BA24&gt;預測IC!BA$26,1,0)</f>
        <v/>
      </c>
      <c r="BB24" s="11">
        <f>IF(預測IC!BB24&gt;預測IC!BB$26,1,0)</f>
        <v/>
      </c>
      <c r="BC24" s="11">
        <f>IF(預測IC!BC24&gt;預測IC!BC$26,1,0)</f>
        <v/>
      </c>
      <c r="BD24" s="11">
        <f>IF(預測IC!BD24&gt;預測IC!BD$26,1,0)</f>
        <v/>
      </c>
      <c r="BE24" s="11">
        <f>IF(預測IC!BE24&gt;預測IC!BE$26,1,0)</f>
        <v/>
      </c>
      <c r="BF24" s="11">
        <f>IF(預測IC!BF24&gt;預測IC!BF$26,1,0)</f>
        <v/>
      </c>
      <c r="BG24" s="11">
        <f>IF(預測IC!BG24&gt;預測IC!BG$26,1,0)</f>
        <v/>
      </c>
      <c r="BH24" s="11">
        <f>IF(預測IC!BH24&gt;預測IC!BH$26,1,0)</f>
        <v/>
      </c>
      <c r="BI24" s="11">
        <f>IF(預測IC!BI24&gt;預測IC!BI$26,1,0)</f>
        <v/>
      </c>
      <c r="BJ24" s="11">
        <f>IF(預測IC!BJ24&gt;預測IC!BJ$26,1,0)</f>
        <v/>
      </c>
      <c r="BK24" s="11">
        <f>IF(預測IC!BK24&gt;預測IC!BK$26,1,0)</f>
        <v/>
      </c>
      <c r="BL24" s="11">
        <f>IF(預測IC!BL24&gt;預測IC!BL$26,1,0)</f>
        <v/>
      </c>
      <c r="BM24" s="11">
        <f>IF(預測IC!BM24&gt;預測IC!BM$26,1,0)</f>
        <v/>
      </c>
      <c r="BN24" s="11">
        <f>IF(預測IC!BN24&gt;預測IC!BN$26,1,0)</f>
        <v/>
      </c>
      <c r="BO24" s="11">
        <f>IF(預測IC!BO24&gt;預測IC!BO$26,1,0)</f>
        <v/>
      </c>
      <c r="BP24" s="11">
        <f>IF(預測IC!BP24&gt;預測IC!BP$26,1,0)</f>
        <v/>
      </c>
      <c r="BQ24" s="11">
        <f>IF(預測IC!BQ24&gt;預測IC!BQ$26,1,0)</f>
        <v/>
      </c>
      <c r="BR24" s="11">
        <f>IF(預測IC!BR24&gt;預測IC!BR$26,1,0)</f>
        <v/>
      </c>
      <c r="BS24" s="11">
        <f>IF(預測IC!BS24&gt;預測IC!BS$26,1,0)</f>
        <v/>
      </c>
      <c r="BT24" s="11">
        <f>IF(預測IC!BT24&gt;預測IC!BT$26,1,0)</f>
        <v/>
      </c>
      <c r="BU24" s="11">
        <f>IF(預測IC!BU24&gt;預測IC!BU$26,1,0)</f>
        <v/>
      </c>
      <c r="BV24" s="11">
        <f>IF(預測IC!BV24&gt;預測IC!BV$26,1,0)</f>
        <v/>
      </c>
      <c r="BW24" s="11">
        <f>IF(預測IC!BW24&gt;預測IC!BW$26,1,0)</f>
        <v/>
      </c>
      <c r="BX24" s="11">
        <f>IF(預測IC!BX24&gt;預測IC!BX$26,1,0)</f>
        <v/>
      </c>
      <c r="BY24" s="11">
        <f>IF(預測IC!BY24&gt;預測IC!BY$26,1,0)</f>
        <v/>
      </c>
      <c r="BZ24" s="11">
        <f>IF(預測IC!BZ24&gt;預測IC!BZ$26,1,0)</f>
        <v/>
      </c>
      <c r="CA24" s="11">
        <f>IF(預測IC!CA24&gt;預測IC!CA$26,1,0)</f>
        <v/>
      </c>
      <c r="CB24" s="11">
        <f>IF(預測IC!CB24&gt;預測IC!CB$26,1,0)</f>
        <v/>
      </c>
      <c r="CC24" s="11">
        <f>IF(預測IC!CC24&gt;預測IC!CC$26,1,0)</f>
        <v/>
      </c>
      <c r="CD24" s="11">
        <f>IF(預測IC!CD24&gt;預測IC!CD$26,1,0)</f>
        <v/>
      </c>
      <c r="CE24" s="11">
        <f>IF(預測IC!CE24&gt;預測IC!CE$26,1,0)</f>
        <v/>
      </c>
      <c r="CF24" s="11">
        <f>IF(預測IC!CF24&gt;預測IC!CF$26,1,0)</f>
        <v/>
      </c>
      <c r="CG24" s="11">
        <f>IF(預測IC!CG24&gt;預測IC!CG$26,1,0)</f>
        <v/>
      </c>
      <c r="CH24" s="11">
        <f>IF(預測IC!CH24&gt;預測IC!CH$26,1,0)</f>
        <v/>
      </c>
      <c r="CI24" s="11">
        <f>IF(預測IC!CI24&gt;預測IC!CI$26,1,0)</f>
        <v/>
      </c>
      <c r="CJ24" s="11">
        <f>IF(預測IC!CJ24&gt;預測IC!CJ$26,1,0)</f>
        <v/>
      </c>
      <c r="CK24" s="11">
        <f>IF(預測IC!CK24&gt;預測IC!CK$26,1,0)</f>
        <v/>
      </c>
      <c r="CL24" s="11">
        <f>IF(預測IC!CL24&gt;預測IC!CL$26,1,0)</f>
        <v/>
      </c>
      <c r="CM24" s="11">
        <f>IF(預測IC!CM24&gt;預測IC!CM$26,1,0)</f>
        <v/>
      </c>
      <c r="CN24" s="11">
        <f>IF(預測IC!CN24&gt;預測IC!CN$26,1,0)</f>
        <v/>
      </c>
      <c r="CO24" s="11">
        <f>IF(預測IC!CO24&gt;預測IC!CO$26,1,0)</f>
        <v/>
      </c>
      <c r="CP24" s="11">
        <f>IF(預測IC!CP24&gt;預測IC!CP$26,1,0)</f>
        <v/>
      </c>
      <c r="CQ24" s="11">
        <f>IF(預測IC!CQ24&gt;預測IC!CQ$26,1,0)</f>
        <v/>
      </c>
      <c r="CR24" s="11">
        <f>IF(預測IC!CR24&gt;預測IC!CR$26,1,0)</f>
        <v/>
      </c>
      <c r="CS24" s="11">
        <f>IF(預測IC!CS24&gt;預測IC!CS$26,1,0)</f>
        <v/>
      </c>
      <c r="CT24" s="11">
        <f>IF(預測IC!CT24&gt;預測IC!CT$26,1,0)</f>
        <v/>
      </c>
      <c r="CU24" s="11">
        <f>IF(預測IC!CU24&gt;預測IC!CU$26,1,0)</f>
        <v/>
      </c>
      <c r="CV24" s="11">
        <f>IF(預測IC!CV24&gt;預測IC!CV$26,1,0)</f>
        <v/>
      </c>
      <c r="CW24" s="11">
        <f>IF(預測IC!CW24&gt;預測IC!CW$26,1,0)</f>
        <v/>
      </c>
      <c r="CX24" s="11">
        <f>IF(預測IC!CX24&gt;預測IC!CX$26,1,0)</f>
        <v/>
      </c>
      <c r="CY24" s="11">
        <f>IF(預測IC!CY24&gt;預測IC!CY$26,1,0)</f>
        <v/>
      </c>
      <c r="CZ24" s="11">
        <f>IF(預測IC!CZ24&gt;預測IC!CZ$26,1,0)</f>
        <v/>
      </c>
      <c r="DA24" s="11">
        <f>IF(預測IC!DA24&gt;預測IC!DA$26,1,0)</f>
        <v/>
      </c>
      <c r="DB24" s="11">
        <f>IF(預測IC!DB24&gt;預測IC!DB$26,1,0)</f>
        <v/>
      </c>
      <c r="DC24" s="11">
        <f>IF(預測IC!DC24&gt;預測IC!DC$26,1,0)</f>
        <v/>
      </c>
      <c r="DD24" s="11">
        <f>IF(預測IC!DD24&gt;預測IC!DD$26,1,0)</f>
        <v/>
      </c>
      <c r="DE24" s="11">
        <f>IF(預測IC!DE24&gt;預測IC!DE$26,1,0)</f>
        <v/>
      </c>
      <c r="DF24" s="11">
        <f>IF(預測IC!DF24&gt;預測IC!DF$26,1,0)</f>
        <v/>
      </c>
      <c r="DG24" s="11">
        <f>IF(預測IC!DG24&gt;預測IC!DG$26,1,0)</f>
        <v/>
      </c>
      <c r="DH24" s="11">
        <f>IF(預測IC!DH24&gt;預測IC!DH$26,1,0)</f>
        <v/>
      </c>
      <c r="DI24" s="11">
        <f>IF(預測IC!DI24&gt;預測IC!DI$26,1,0)</f>
        <v/>
      </c>
      <c r="DJ24" s="11">
        <f>IF(預測IC!DJ24&gt;預測IC!DJ$26,1,0)</f>
        <v/>
      </c>
      <c r="DK24" s="11">
        <f>IF(預測IC!DK24&gt;預測IC!DK$26,1,0)</f>
        <v/>
      </c>
      <c r="DL24" s="11">
        <f>IF(預測IC!DL24&gt;預測IC!DL$26,1,0)</f>
        <v/>
      </c>
      <c r="DM24" s="11">
        <f>IF(預測IC!DM24&gt;預測IC!DM$26,1,0)</f>
        <v/>
      </c>
      <c r="DN24" s="11">
        <f>IF(預測IC!DN24&gt;預測IC!DN$26,1,0)</f>
        <v/>
      </c>
      <c r="DO24" s="11">
        <f>IF(預測IC!DO24&gt;預測IC!DO$26,1,0)</f>
        <v/>
      </c>
      <c r="DP24" s="11">
        <f>IF(預測IC!DP24&gt;預測IC!DP$26,1,0)</f>
        <v/>
      </c>
      <c r="DQ24" s="11">
        <f>IF(預測IC!DQ24&gt;預測IC!DQ$26,1,0)</f>
        <v/>
      </c>
      <c r="DR24" s="11">
        <f>IF(預測IC!DR24&gt;預測IC!DR$26,1,0)</f>
        <v/>
      </c>
      <c r="DS24" s="11">
        <f>IF(預測IC!DS24&gt;預測IC!DS$26,1,0)</f>
        <v/>
      </c>
      <c r="DT24" s="11">
        <f>IF(預測IC!DT24&gt;預測IC!DT$26,1,0)</f>
        <v/>
      </c>
      <c r="DU24" s="11">
        <f>IF(預測IC!DU24&gt;預測IC!DU$26,1,0)</f>
        <v/>
      </c>
      <c r="DV24" s="11">
        <f>IF(預測IC!DV24&gt;預測IC!DV$26,1,0)</f>
        <v/>
      </c>
      <c r="DW24" s="11">
        <f>IF(預測IC!DW24&gt;預測IC!DW$26,1,0)</f>
        <v/>
      </c>
      <c r="DX24" s="11">
        <f>IF(預測IC!DX24&gt;預測IC!DX$26,1,0)</f>
        <v/>
      </c>
      <c r="DY24" s="11">
        <f>IF(預測IC!DY24&gt;預測IC!DY$26,1,0)</f>
        <v/>
      </c>
      <c r="DZ24" s="11">
        <f>IF(預測IC!DZ24&gt;預測IC!DZ$26,1,0)</f>
        <v/>
      </c>
      <c r="EA24" s="11">
        <f>IF(預測IC!EA24&gt;預測IC!EA$26,1,0)</f>
        <v/>
      </c>
      <c r="EB24" s="11">
        <f>IF(預測IC!EB24&gt;預測IC!EB$26,1,0)</f>
        <v/>
      </c>
      <c r="EC24" s="11">
        <f>IF(預測IC!EC24&gt;預測IC!EC$26,1,0)</f>
        <v/>
      </c>
      <c r="ED24" s="11">
        <f>IF(預測IC!ED24&gt;預測IC!ED$26,1,0)</f>
        <v/>
      </c>
      <c r="EE24" s="11">
        <f>IF(預測IC!EE24&gt;預測IC!EE$26,1,0)</f>
        <v/>
      </c>
      <c r="EF24" s="11">
        <f>IF(預測IC!EF24&gt;預測IC!EF$26,1,0)</f>
        <v/>
      </c>
      <c r="EG24" s="28">
        <f>SUM(C24:EF24)</f>
        <v/>
      </c>
      <c r="EH24" s="21">
        <f>SUM(C24:EF24)/134</f>
        <v/>
      </c>
    </row>
    <row r="25" ht="16.2" customHeight="1" s="54" thickBot="1">
      <c r="EG25" s="24" t="n"/>
    </row>
    <row r="26" ht="17.7" customHeight="1" s="54" thickBot="1">
      <c r="A26" s="13" t="inlineStr">
        <is>
          <t>大盤</t>
        </is>
      </c>
      <c r="B26" s="50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6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6"/>
  <sheetViews>
    <sheetView topLeftCell="A4" workbookViewId="0">
      <selection activeCell="I10" sqref="I10"/>
    </sheetView>
  </sheetViews>
  <sheetFormatPr baseColWidth="8" defaultColWidth="8.88671875" defaultRowHeight="15.6"/>
  <cols>
    <col width="8.88671875" customWidth="1" style="4" min="1" max="3"/>
    <col width="12.33203125" bestFit="1" customWidth="1" style="4" min="4" max="4"/>
    <col width="8.88671875" customWidth="1" style="4" min="5" max="6"/>
    <col width="8.88671875" customWidth="1" style="4" min="7" max="16384"/>
  </cols>
  <sheetData>
    <row r="1" ht="16.2" customHeight="1" s="54" thickBot="1">
      <c r="A1" s="2" t="inlineStr">
        <is>
          <t>OLS</t>
        </is>
      </c>
      <c r="B1" s="3" t="n"/>
    </row>
    <row r="2" ht="16.2" customHeight="1" s="54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2" customHeight="1" s="54" thickBot="1">
      <c r="A3" s="5" t="n"/>
      <c r="B3" s="1" t="inlineStr">
        <is>
          <t>bm</t>
        </is>
      </c>
      <c r="C3" s="10" t="n">
        <v>0.07879899999999999</v>
      </c>
      <c r="D3" s="10" t="n">
        <v>0.179733</v>
      </c>
      <c r="E3" s="10" t="n">
        <v>0.015489</v>
      </c>
      <c r="F3" s="10" t="n">
        <v>-0.022168</v>
      </c>
      <c r="G3" s="10" t="n">
        <v>-0.008104</v>
      </c>
      <c r="H3" s="10" t="n">
        <v>-0.015401</v>
      </c>
      <c r="I3" s="10" t="n">
        <v>-0.196766</v>
      </c>
      <c r="J3" s="10" t="n">
        <v>0.27883</v>
      </c>
      <c r="K3" s="10" t="n">
        <v>-0.005693</v>
      </c>
      <c r="L3" s="10" t="n">
        <v>-0.04789</v>
      </c>
      <c r="M3" s="10" t="n">
        <v>-0.00527</v>
      </c>
      <c r="N3" s="10" t="n">
        <v>-0.19107</v>
      </c>
      <c r="O3" s="10" t="n">
        <v>0.310847</v>
      </c>
      <c r="P3" s="10" t="n">
        <v>0.113771</v>
      </c>
      <c r="Q3" s="10" t="n">
        <v>-0.123071</v>
      </c>
      <c r="R3" s="10" t="n">
        <v>-0.112558</v>
      </c>
      <c r="S3" s="10" t="n">
        <v>0.104666</v>
      </c>
      <c r="T3" s="10" t="n">
        <v>-0.144585</v>
      </c>
      <c r="U3" s="10" t="n">
        <v>-0.262808</v>
      </c>
      <c r="V3" s="10" t="n">
        <v>0.003019</v>
      </c>
      <c r="W3" s="10" t="n">
        <v>0.13196</v>
      </c>
      <c r="X3" s="10" t="n">
        <v>-0.08941499999999999</v>
      </c>
      <c r="Y3" s="10" t="n">
        <v>0.279063</v>
      </c>
      <c r="Z3" s="10" t="n">
        <v>0.10309</v>
      </c>
      <c r="AA3" s="10" t="n">
        <v>0.486377</v>
      </c>
      <c r="AB3" s="10" t="n">
        <v>-0.23482</v>
      </c>
      <c r="AC3" s="10" t="n">
        <v>0.012097</v>
      </c>
      <c r="AD3" s="10" t="n">
        <v>0.024632</v>
      </c>
      <c r="AE3" s="10" t="n">
        <v>-0.005668</v>
      </c>
      <c r="AF3" s="10" t="n">
        <v>-0.056269</v>
      </c>
      <c r="AG3" s="10" t="n">
        <v>0.122405</v>
      </c>
      <c r="AH3" s="10" t="n">
        <v>0.043997</v>
      </c>
      <c r="AI3" s="10" t="n">
        <v>0.162268</v>
      </c>
      <c r="AJ3" s="10" t="n">
        <v>0.06893000000000001</v>
      </c>
      <c r="AK3" s="10" t="n">
        <v>0.08735999999999999</v>
      </c>
      <c r="AL3" s="10" t="n">
        <v>0.187381</v>
      </c>
      <c r="AM3" s="10" t="n">
        <v>0.09683700000000001</v>
      </c>
      <c r="AN3" s="10" t="n">
        <v>0.207574</v>
      </c>
      <c r="AO3" s="10" t="n">
        <v>0.117976</v>
      </c>
      <c r="AP3" s="10" t="n">
        <v>-0.028504</v>
      </c>
      <c r="AQ3" s="10" t="n">
        <v>-0.21144</v>
      </c>
      <c r="AR3" s="10" t="n">
        <v>-0.032303</v>
      </c>
      <c r="AS3" s="10" t="n">
        <v>0.14111</v>
      </c>
      <c r="AT3" s="10" t="n">
        <v>-0.034808</v>
      </c>
      <c r="AU3" s="10" t="n">
        <v>0.044456</v>
      </c>
      <c r="AV3" s="10" t="n">
        <v>0.021163</v>
      </c>
      <c r="AW3" s="10" t="n">
        <v>-0.174155</v>
      </c>
      <c r="AX3" s="10" t="n">
        <v>0.076318</v>
      </c>
      <c r="AY3" s="10" t="n">
        <v>0.009031000000000001</v>
      </c>
      <c r="AZ3" s="10" t="n">
        <v>0.016639</v>
      </c>
      <c r="BA3" s="10" t="n">
        <v>0.1605</v>
      </c>
      <c r="BB3" s="10" t="n">
        <v>-0.123741</v>
      </c>
      <c r="BC3" s="10" t="n">
        <v>0.156737</v>
      </c>
      <c r="BD3" s="10" t="n">
        <v>0.166883</v>
      </c>
      <c r="BE3" s="10" t="n">
        <v>-0.131472</v>
      </c>
      <c r="BF3" s="10" t="n">
        <v>0.009950000000000001</v>
      </c>
      <c r="BG3" s="10" t="n">
        <v>0.315311</v>
      </c>
      <c r="BH3" s="10" t="n">
        <v>0.270101</v>
      </c>
      <c r="BI3" s="10" t="n">
        <v>0.056315</v>
      </c>
      <c r="BJ3" s="10" t="n">
        <v>-0.00241</v>
      </c>
      <c r="BK3" s="10" t="n">
        <v>0.0798</v>
      </c>
      <c r="BL3" s="10" t="n">
        <v>-0.023392</v>
      </c>
      <c r="BM3" s="10" t="n">
        <v>0.094009</v>
      </c>
      <c r="BN3" s="10" t="n">
        <v>0.017644</v>
      </c>
      <c r="BO3" s="10" t="n">
        <v>-0.149288</v>
      </c>
      <c r="BP3" s="10" t="n">
        <v>0.041226</v>
      </c>
      <c r="BQ3" s="10" t="n">
        <v>-0.082741</v>
      </c>
      <c r="BR3" s="10" t="n">
        <v>0.213465</v>
      </c>
      <c r="BS3" s="10" t="n">
        <v>-0.067985</v>
      </c>
      <c r="BT3" s="10" t="n">
        <v>0.14435</v>
      </c>
      <c r="BU3" s="10" t="n">
        <v>0.113779</v>
      </c>
      <c r="BV3" s="10" t="n">
        <v>0.005601</v>
      </c>
      <c r="BW3" s="10" t="n">
        <v>0.113147</v>
      </c>
      <c r="BX3" s="10" t="n">
        <v>-0.090571</v>
      </c>
      <c r="BY3" s="10" t="n">
        <v>0.11857</v>
      </c>
      <c r="BZ3" s="10" t="n">
        <v>-0.140713</v>
      </c>
      <c r="CA3" s="10" t="n">
        <v>0.073473</v>
      </c>
      <c r="CB3" s="10" t="n">
        <v>-0.171026</v>
      </c>
      <c r="CC3" s="10" t="n">
        <v>0.086732</v>
      </c>
      <c r="CD3" s="10" t="n">
        <v>0.031268</v>
      </c>
      <c r="CE3" s="10" t="n">
        <v>0.218797</v>
      </c>
      <c r="CF3" s="10" t="n">
        <v>-0.141595</v>
      </c>
      <c r="CG3" s="10" t="n">
        <v>0.099732</v>
      </c>
      <c r="CH3" s="10" t="n">
        <v>0.045308</v>
      </c>
      <c r="CI3" s="10" t="n">
        <v>0.08944100000000001</v>
      </c>
      <c r="CJ3" s="10" t="n">
        <v>-0.391113</v>
      </c>
      <c r="CK3" s="10" t="n">
        <v>-0.109791</v>
      </c>
      <c r="CL3" s="10" t="n">
        <v>-0.043456</v>
      </c>
      <c r="CM3" s="10" t="n">
        <v>0.183112</v>
      </c>
      <c r="CN3" s="10" t="n">
        <v>-0.397462</v>
      </c>
      <c r="CO3" s="10" t="n">
        <v>-0.09693</v>
      </c>
      <c r="CP3" s="10" t="n">
        <v>-0.095682</v>
      </c>
      <c r="CQ3" s="10" t="n">
        <v>0.171975</v>
      </c>
      <c r="CR3" s="10" t="n">
        <v>0.061939</v>
      </c>
      <c r="CS3" s="10" t="n">
        <v>-0.047664</v>
      </c>
      <c r="CT3" s="10" t="n">
        <v>-0.010474</v>
      </c>
      <c r="CU3" s="10" t="n">
        <v>-0.034401</v>
      </c>
      <c r="CV3" s="10" t="n">
        <v>-0.022584</v>
      </c>
      <c r="CW3" s="10" t="n">
        <v>0.039676</v>
      </c>
      <c r="CX3" s="10" t="n">
        <v>-0.053905</v>
      </c>
      <c r="CY3" s="10" t="n">
        <v>0.027222</v>
      </c>
      <c r="CZ3" s="10" t="n">
        <v>0.09887799999999999</v>
      </c>
      <c r="DA3" s="10" t="n">
        <v>0.312541</v>
      </c>
      <c r="DB3" s="10" t="n">
        <v>-0.155646</v>
      </c>
      <c r="DC3" s="10" t="n">
        <v>-0.186959</v>
      </c>
      <c r="DD3" s="10" t="n">
        <v>-0.168523</v>
      </c>
      <c r="DE3" s="10" t="n">
        <v>0.167798</v>
      </c>
      <c r="DF3" s="10" t="n">
        <v>-0.091638</v>
      </c>
      <c r="DG3" s="10" t="n">
        <v>-0.075709</v>
      </c>
      <c r="DH3" s="10" t="n">
        <v>0.007796</v>
      </c>
      <c r="DI3" s="10" t="n">
        <v>-0.00255</v>
      </c>
      <c r="DJ3" s="10" t="n">
        <v>-0.06898799999999999</v>
      </c>
      <c r="DK3" s="10" t="n">
        <v>0.046125</v>
      </c>
      <c r="DL3" s="10" t="n">
        <v>-0.058338</v>
      </c>
      <c r="DM3" s="10" t="n">
        <v>-0.070566</v>
      </c>
      <c r="DN3" s="10" t="n">
        <v>0.028093</v>
      </c>
      <c r="DO3" s="10" t="n">
        <v>-0.070883</v>
      </c>
      <c r="DP3" s="10" t="n">
        <v>0.161131</v>
      </c>
      <c r="DQ3" s="10" t="n">
        <v>0.154744</v>
      </c>
      <c r="DR3" s="10" t="n">
        <v>-0.107425</v>
      </c>
      <c r="DS3" s="10" t="n">
        <v>0.112842</v>
      </c>
      <c r="DT3" s="10" t="n">
        <v>-0.091402</v>
      </c>
      <c r="DU3" s="10" t="n">
        <v>-0.065442</v>
      </c>
      <c r="DV3" s="10" t="n">
        <v>-0.07375900000000001</v>
      </c>
      <c r="DW3" s="10" t="n">
        <v>0.06615600000000001</v>
      </c>
      <c r="DX3" s="10" t="n">
        <v>0.06941700000000001</v>
      </c>
      <c r="DY3" s="10" t="n">
        <v>-0.102992</v>
      </c>
      <c r="DZ3" s="10" t="n">
        <v>0.263913</v>
      </c>
      <c r="EA3" s="10" t="n">
        <v>-0.08975900000000001</v>
      </c>
      <c r="EB3" s="10" t="n">
        <v>0.194325</v>
      </c>
      <c r="EC3" s="10" t="n">
        <v>-0.030097</v>
      </c>
      <c r="ED3" s="10" t="n">
        <v>0.028618</v>
      </c>
      <c r="EE3" s="10" t="n">
        <v>-0.08737200000000001</v>
      </c>
      <c r="EF3" s="10" t="n">
        <v>-0.020976</v>
      </c>
    </row>
    <row r="4" ht="16.2" customHeight="1" s="54" thickBot="1">
      <c r="A4" s="5" t="n"/>
      <c r="B4" s="1" t="inlineStr">
        <is>
          <t>size</t>
        </is>
      </c>
      <c r="C4" s="10" t="n">
        <v>-0.203737</v>
      </c>
      <c r="D4" s="10" t="n">
        <v>-0.196253</v>
      </c>
      <c r="E4" s="10" t="n">
        <v>-0.254159</v>
      </c>
      <c r="F4" s="10" t="n">
        <v>0.046204</v>
      </c>
      <c r="G4" s="10" t="n">
        <v>0.030789</v>
      </c>
      <c r="H4" s="10" t="n">
        <v>-0.051609</v>
      </c>
      <c r="I4" s="10" t="n">
        <v>0.001151</v>
      </c>
      <c r="J4" s="10" t="n">
        <v>0.048763</v>
      </c>
      <c r="K4" s="10" t="n">
        <v>-0.101982</v>
      </c>
      <c r="L4" s="10" t="n">
        <v>-0.018322</v>
      </c>
      <c r="M4" s="10" t="n">
        <v>-0.054834</v>
      </c>
      <c r="N4" s="10" t="n">
        <v>-0.03015</v>
      </c>
      <c r="O4" s="10" t="n">
        <v>-0.186727</v>
      </c>
      <c r="P4" s="10" t="n">
        <v>0.030188</v>
      </c>
      <c r="Q4" s="10" t="n">
        <v>0.09789</v>
      </c>
      <c r="R4" s="10" t="n">
        <v>-0.093808</v>
      </c>
      <c r="S4" s="10" t="n">
        <v>0.022756</v>
      </c>
      <c r="T4" s="10" t="n">
        <v>0.073507</v>
      </c>
      <c r="U4" s="10" t="n">
        <v>0.006855</v>
      </c>
      <c r="V4" s="10" t="n">
        <v>-0.021639</v>
      </c>
      <c r="W4" s="10" t="n">
        <v>-0.006039</v>
      </c>
      <c r="X4" s="10" t="n">
        <v>-0.169731</v>
      </c>
      <c r="Y4" s="10" t="n">
        <v>-0.233653</v>
      </c>
      <c r="Z4" s="10" t="n">
        <v>-0.009998</v>
      </c>
      <c r="AA4" s="10" t="n">
        <v>-0.002435</v>
      </c>
      <c r="AB4" s="10" t="n">
        <v>-0.163808</v>
      </c>
      <c r="AC4" s="10" t="n">
        <v>-0.06540600000000001</v>
      </c>
      <c r="AD4" s="10" t="n">
        <v>-0.053692</v>
      </c>
      <c r="AE4" s="10" t="n">
        <v>0.043446</v>
      </c>
      <c r="AF4" s="10" t="n">
        <v>0.080856</v>
      </c>
      <c r="AG4" s="10" t="n">
        <v>-0.10082</v>
      </c>
      <c r="AH4" s="10" t="n">
        <v>0.118548</v>
      </c>
      <c r="AI4" s="10" t="n">
        <v>-0.086918</v>
      </c>
      <c r="AJ4" s="10" t="n">
        <v>-0.096715</v>
      </c>
      <c r="AK4" s="10" t="n">
        <v>0.077115</v>
      </c>
      <c r="AL4" s="10" t="n">
        <v>0.019376</v>
      </c>
      <c r="AM4" s="10" t="n">
        <v>-0.006685</v>
      </c>
      <c r="AN4" s="10" t="n">
        <v>0.011433</v>
      </c>
      <c r="AO4" s="10" t="n">
        <v>-0.044565</v>
      </c>
      <c r="AP4" s="10" t="n">
        <v>0.079751</v>
      </c>
      <c r="AQ4" s="10" t="n">
        <v>-0.090693</v>
      </c>
      <c r="AR4" s="10" t="n">
        <v>0.114431</v>
      </c>
      <c r="AS4" s="10" t="n">
        <v>0.08229599999999999</v>
      </c>
      <c r="AT4" s="10" t="n">
        <v>0.010312</v>
      </c>
      <c r="AU4" s="10" t="n">
        <v>-0.03371</v>
      </c>
      <c r="AV4" s="10" t="n">
        <v>-0.217699</v>
      </c>
      <c r="AW4" s="10" t="n">
        <v>0.052457</v>
      </c>
      <c r="AX4" s="10" t="n">
        <v>0.013927</v>
      </c>
      <c r="AY4" s="10" t="n">
        <v>0.105011</v>
      </c>
      <c r="AZ4" s="10" t="n">
        <v>0.017529</v>
      </c>
      <c r="BA4" s="10" t="n">
        <v>-0.154326</v>
      </c>
      <c r="BB4" s="10" t="n">
        <v>-0.252464</v>
      </c>
      <c r="BC4" s="10" t="n">
        <v>-0.149872</v>
      </c>
      <c r="BD4" s="10" t="n">
        <v>-0.022774</v>
      </c>
      <c r="BE4" s="10" t="n">
        <v>-0.031425</v>
      </c>
      <c r="BF4" s="10" t="n">
        <v>0.123277</v>
      </c>
      <c r="BG4" s="10" t="n">
        <v>-0.075331</v>
      </c>
      <c r="BH4" s="10" t="n">
        <v>-0.064737</v>
      </c>
      <c r="BI4" s="10" t="n">
        <v>0.018214</v>
      </c>
      <c r="BJ4" s="10" t="n">
        <v>-0.150851</v>
      </c>
      <c r="BK4" s="10" t="n">
        <v>-0.058953</v>
      </c>
      <c r="BL4" s="10" t="n">
        <v>-0.047774</v>
      </c>
      <c r="BM4" s="10" t="n">
        <v>0.020342</v>
      </c>
      <c r="BN4" s="10" t="n">
        <v>0.040714</v>
      </c>
      <c r="BO4" s="10" t="n">
        <v>0.045215</v>
      </c>
      <c r="BP4" s="10" t="n">
        <v>0.08362700000000001</v>
      </c>
      <c r="BQ4" s="10" t="n">
        <v>0.030825</v>
      </c>
      <c r="BR4" s="10" t="n">
        <v>-0.115455</v>
      </c>
      <c r="BS4" s="10" t="n">
        <v>-0.019265</v>
      </c>
      <c r="BT4" s="10" t="n">
        <v>-0.034112</v>
      </c>
      <c r="BU4" s="10" t="n">
        <v>-0.04527</v>
      </c>
      <c r="BV4" s="10" t="n">
        <v>0.171973</v>
      </c>
      <c r="BW4" s="10" t="n">
        <v>-0.100291</v>
      </c>
      <c r="BX4" s="10" t="n">
        <v>-0.06804499999999999</v>
      </c>
      <c r="BY4" s="10" t="n">
        <v>-0.182695</v>
      </c>
      <c r="BZ4" s="10" t="n">
        <v>0.085574</v>
      </c>
      <c r="CA4" s="10" t="n">
        <v>0.009991</v>
      </c>
      <c r="CB4" s="10" t="n">
        <v>0.198019</v>
      </c>
      <c r="CC4" s="10" t="n">
        <v>-0.294464</v>
      </c>
      <c r="CD4" s="10" t="n">
        <v>-0.131849</v>
      </c>
      <c r="CE4" s="10" t="n">
        <v>-0.059049</v>
      </c>
      <c r="CF4" s="10" t="n">
        <v>-0.113821</v>
      </c>
      <c r="CG4" s="10" t="n">
        <v>0.056476</v>
      </c>
      <c r="CH4" s="10" t="n">
        <v>-0.004728</v>
      </c>
      <c r="CI4" s="10" t="n">
        <v>0.08406</v>
      </c>
      <c r="CJ4" s="10" t="n">
        <v>0.028606</v>
      </c>
      <c r="CK4" s="10" t="n">
        <v>-0.02196</v>
      </c>
      <c r="CL4" s="10" t="n">
        <v>-0.067871</v>
      </c>
      <c r="CM4" s="10" t="n">
        <v>0.04007</v>
      </c>
      <c r="CN4" s="10" t="n">
        <v>0.18816</v>
      </c>
      <c r="CO4" s="10" t="n">
        <v>0.002367</v>
      </c>
      <c r="CP4" s="10" t="n">
        <v>0.019451</v>
      </c>
      <c r="CQ4" s="10" t="n">
        <v>-0.030617</v>
      </c>
      <c r="CR4" s="10" t="n">
        <v>-0.287611</v>
      </c>
      <c r="CS4" s="10" t="n">
        <v>-0.279011</v>
      </c>
      <c r="CT4" s="10" t="n">
        <v>0.082167</v>
      </c>
      <c r="CU4" s="10" t="n">
        <v>-0.104495</v>
      </c>
      <c r="CV4" s="10" t="n">
        <v>0.11175</v>
      </c>
      <c r="CW4" s="10" t="n">
        <v>-0.050011</v>
      </c>
      <c r="CX4" s="10" t="n">
        <v>0.05921</v>
      </c>
      <c r="CY4" s="10" t="n">
        <v>-0.174711</v>
      </c>
      <c r="CZ4" s="10" t="n">
        <v>-0.131097</v>
      </c>
      <c r="DA4" s="10" t="n">
        <v>-0.220326</v>
      </c>
      <c r="DB4" s="10" t="n">
        <v>-0.051224</v>
      </c>
      <c r="DC4" s="10" t="n">
        <v>-0.142794</v>
      </c>
      <c r="DD4" s="10" t="n">
        <v>0.10209</v>
      </c>
      <c r="DE4" s="10" t="n">
        <v>0.044656</v>
      </c>
      <c r="DF4" s="10" t="n">
        <v>0.056233</v>
      </c>
      <c r="DG4" s="10" t="n">
        <v>-0.141682</v>
      </c>
      <c r="DH4" s="10" t="n">
        <v>0.157626</v>
      </c>
      <c r="DI4" s="10" t="n">
        <v>-0.062036</v>
      </c>
      <c r="DJ4" s="10" t="n">
        <v>-0.119679</v>
      </c>
      <c r="DK4" s="10" t="n">
        <v>-0.163693</v>
      </c>
      <c r="DL4" s="10" t="n">
        <v>0.09443</v>
      </c>
      <c r="DM4" s="10" t="n">
        <v>0.23372</v>
      </c>
      <c r="DN4" s="10" t="n">
        <v>0.073797</v>
      </c>
      <c r="DO4" s="10" t="n">
        <v>-0.045813</v>
      </c>
      <c r="DP4" s="10" t="n">
        <v>-0.06830799999999999</v>
      </c>
      <c r="DQ4" s="10" t="n">
        <v>-0.169306</v>
      </c>
      <c r="DR4" s="10" t="n">
        <v>-0.129244</v>
      </c>
      <c r="DS4" s="10" t="n">
        <v>-0.07388699999999999</v>
      </c>
      <c r="DT4" s="10" t="n">
        <v>-0.203706</v>
      </c>
      <c r="DU4" s="10" t="n">
        <v>-0.054892</v>
      </c>
      <c r="DV4" s="10" t="n">
        <v>0.012037</v>
      </c>
      <c r="DW4" s="10" t="n">
        <v>-0.00613</v>
      </c>
      <c r="DX4" s="10" t="n">
        <v>-0.0849</v>
      </c>
      <c r="DY4" s="10" t="n">
        <v>0.100007</v>
      </c>
      <c r="DZ4" s="10" t="n">
        <v>-0.13106</v>
      </c>
      <c r="EA4" s="10" t="n">
        <v>-0.194881</v>
      </c>
      <c r="EB4" s="10" t="n">
        <v>-0.319798</v>
      </c>
      <c r="EC4" s="10" t="n">
        <v>0.049837</v>
      </c>
      <c r="ED4" s="10" t="n">
        <v>0.054628</v>
      </c>
      <c r="EE4" s="10" t="n">
        <v>0.120046</v>
      </c>
      <c r="EF4" s="10" t="n">
        <v>0.243811</v>
      </c>
    </row>
    <row r="5" ht="16.2" customHeight="1" s="54" thickBot="1">
      <c r="A5" s="5" t="n"/>
      <c r="B5" s="7" t="inlineStr">
        <is>
          <t>mom</t>
        </is>
      </c>
      <c r="C5" s="10" t="n">
        <v>-0.209358</v>
      </c>
      <c r="D5" s="10" t="n">
        <v>-0.107363</v>
      </c>
      <c r="E5" s="10" t="n">
        <v>0.524848</v>
      </c>
      <c r="F5" s="10" t="n">
        <v>0.046837</v>
      </c>
      <c r="G5" s="10" t="n">
        <v>-0.210471</v>
      </c>
      <c r="H5" s="10" t="n">
        <v>0.474415</v>
      </c>
      <c r="I5" s="10" t="n">
        <v>0.146785</v>
      </c>
      <c r="J5" s="10" t="n">
        <v>-0.056232</v>
      </c>
      <c r="K5" s="10" t="n">
        <v>0.275528</v>
      </c>
      <c r="L5" s="10" t="n">
        <v>-0.430043</v>
      </c>
      <c r="M5" s="10" t="n">
        <v>0.323768</v>
      </c>
      <c r="N5" s="10" t="n">
        <v>-0.348242</v>
      </c>
      <c r="O5" s="10" t="n">
        <v>-0.097529</v>
      </c>
      <c r="P5" s="10" t="n">
        <v>0.395466</v>
      </c>
      <c r="Q5" s="10" t="n">
        <v>0.048467</v>
      </c>
      <c r="R5" s="10" t="n">
        <v>-0.09885099999999999</v>
      </c>
      <c r="S5" s="10" t="n">
        <v>0.305792</v>
      </c>
      <c r="T5" s="10" t="n">
        <v>0.072072</v>
      </c>
      <c r="U5" s="10" t="n">
        <v>-0.000479</v>
      </c>
      <c r="V5" s="10" t="n">
        <v>-0.139367</v>
      </c>
      <c r="W5" s="10" t="n">
        <v>-0.39469</v>
      </c>
      <c r="X5" s="10" t="n">
        <v>-0.129478</v>
      </c>
      <c r="Y5" s="10" t="n">
        <v>-0.681273</v>
      </c>
      <c r="Z5" s="10" t="n">
        <v>-0.004172</v>
      </c>
      <c r="AA5" s="10" t="n">
        <v>0.018198</v>
      </c>
      <c r="AB5" s="10" t="n">
        <v>0.201122</v>
      </c>
      <c r="AC5" s="10" t="n">
        <v>-0.08916300000000001</v>
      </c>
      <c r="AD5" s="10" t="n">
        <v>0.145141</v>
      </c>
      <c r="AE5" s="10" t="n">
        <v>0.074669</v>
      </c>
      <c r="AF5" s="10" t="n">
        <v>0.17577</v>
      </c>
      <c r="AG5" s="10" t="n">
        <v>-0.30336</v>
      </c>
      <c r="AH5" s="10" t="n">
        <v>-0.34825</v>
      </c>
      <c r="AI5" s="10" t="n">
        <v>0.258724</v>
      </c>
      <c r="AJ5" s="10" t="n">
        <v>-0.488892</v>
      </c>
      <c r="AK5" s="10" t="n">
        <v>0.132548</v>
      </c>
      <c r="AL5" s="10" t="n">
        <v>-0.02379</v>
      </c>
      <c r="AM5" s="10" t="n">
        <v>0.011752</v>
      </c>
      <c r="AN5" s="10" t="n">
        <v>-0.074933</v>
      </c>
      <c r="AO5" s="10" t="n">
        <v>0.184463</v>
      </c>
      <c r="AP5" s="10" t="n">
        <v>0.032348</v>
      </c>
      <c r="AQ5" s="10" t="n">
        <v>0.151198</v>
      </c>
      <c r="AR5" s="10" t="n">
        <v>-0.09528300000000001</v>
      </c>
      <c r="AS5" s="10" t="n">
        <v>-0.126004</v>
      </c>
      <c r="AT5" s="10" t="n">
        <v>0.151645</v>
      </c>
      <c r="AU5" s="10" t="n">
        <v>-0.200837</v>
      </c>
      <c r="AV5" s="10" t="n">
        <v>0.078906</v>
      </c>
      <c r="AW5" s="10" t="n">
        <v>0.000679</v>
      </c>
      <c r="AX5" s="10" t="n">
        <v>0.112293</v>
      </c>
      <c r="AY5" s="10" t="n">
        <v>-0.118056</v>
      </c>
      <c r="AZ5" s="10" t="n">
        <v>0.20622</v>
      </c>
      <c r="BA5" s="10" t="n">
        <v>-0.039692</v>
      </c>
      <c r="BB5" s="10" t="n">
        <v>0.082996</v>
      </c>
      <c r="BC5" s="10" t="n">
        <v>-0.130005</v>
      </c>
      <c r="BD5" s="10" t="n">
        <v>-0.106316</v>
      </c>
      <c r="BE5" s="10" t="n">
        <v>0.115933</v>
      </c>
      <c r="BF5" s="10" t="n">
        <v>-0.285262</v>
      </c>
      <c r="BG5" s="10" t="n">
        <v>-0.150933</v>
      </c>
      <c r="BH5" s="10" t="n">
        <v>0.00292</v>
      </c>
      <c r="BI5" s="10" t="n">
        <v>0.058127</v>
      </c>
      <c r="BJ5" s="10" t="n">
        <v>-0.25987</v>
      </c>
      <c r="BK5" s="10" t="n">
        <v>0.184879</v>
      </c>
      <c r="BL5" s="10" t="n">
        <v>-0.269132</v>
      </c>
      <c r="BM5" s="10" t="n">
        <v>0.171738</v>
      </c>
      <c r="BN5" s="10" t="n">
        <v>-0.180922</v>
      </c>
      <c r="BO5" s="10" t="n">
        <v>-0.063204</v>
      </c>
      <c r="BP5" s="10" t="n">
        <v>0.071868</v>
      </c>
      <c r="BQ5" s="10" t="n">
        <v>-0.16861</v>
      </c>
      <c r="BR5" s="10" t="n">
        <v>-0.025448</v>
      </c>
      <c r="BS5" s="10" t="n">
        <v>0.124424</v>
      </c>
      <c r="BT5" s="10" t="n">
        <v>0.207722</v>
      </c>
      <c r="BU5" s="10" t="n">
        <v>-0.060051</v>
      </c>
      <c r="BV5" s="10" t="n">
        <v>-0.0517</v>
      </c>
      <c r="BW5" s="10" t="n">
        <v>-0.126802</v>
      </c>
      <c r="BX5" s="10" t="n">
        <v>-0.10582</v>
      </c>
      <c r="BY5" s="10" t="n">
        <v>0.053607</v>
      </c>
      <c r="BZ5" s="10" t="n">
        <v>-0.034479</v>
      </c>
      <c r="CA5" s="10" t="n">
        <v>-0.020066</v>
      </c>
      <c r="CB5" s="10" t="n">
        <v>0.08459</v>
      </c>
      <c r="CC5" s="10" t="n">
        <v>-0.110384</v>
      </c>
      <c r="CD5" s="10" t="n">
        <v>0.327423</v>
      </c>
      <c r="CE5" s="10" t="n">
        <v>-0.014867</v>
      </c>
      <c r="CF5" s="10" t="n">
        <v>-0.149373</v>
      </c>
      <c r="CG5" s="10" t="n">
        <v>0.1632</v>
      </c>
      <c r="CH5" s="10" t="n">
        <v>-0.069038</v>
      </c>
      <c r="CI5" s="10" t="n">
        <v>-0.115362</v>
      </c>
      <c r="CJ5" s="10" t="n">
        <v>-0.263017</v>
      </c>
      <c r="CK5" s="10" t="n">
        <v>0.378974</v>
      </c>
      <c r="CL5" s="10" t="n">
        <v>-0.07638300000000001</v>
      </c>
      <c r="CM5" s="10" t="n">
        <v>0.042833</v>
      </c>
      <c r="CN5" s="10" t="n">
        <v>-0.151616</v>
      </c>
      <c r="CO5" s="10" t="n">
        <v>0.437168</v>
      </c>
      <c r="CP5" s="10" t="n">
        <v>-0.004183</v>
      </c>
      <c r="CQ5" s="10" t="n">
        <v>-0.499352</v>
      </c>
      <c r="CR5" s="10" t="n">
        <v>0.339857</v>
      </c>
      <c r="CS5" s="10" t="n">
        <v>-0.189887</v>
      </c>
      <c r="CT5" s="10" t="n">
        <v>0.22462</v>
      </c>
      <c r="CU5" s="10" t="n">
        <v>-0.251718</v>
      </c>
      <c r="CV5" s="10" t="n">
        <v>-0.060588</v>
      </c>
      <c r="CW5" s="10" t="n">
        <v>0.210877</v>
      </c>
      <c r="CX5" s="10" t="n">
        <v>0.250162</v>
      </c>
      <c r="CY5" s="10" t="n">
        <v>-0.524134</v>
      </c>
      <c r="CZ5" s="10" t="n">
        <v>0.821618</v>
      </c>
      <c r="DA5" s="10" t="n">
        <v>-0.176523</v>
      </c>
      <c r="DB5" s="10" t="n">
        <v>0.13116</v>
      </c>
      <c r="DC5" s="10" t="n">
        <v>0.175737</v>
      </c>
      <c r="DD5" s="10" t="n">
        <v>-0.420839</v>
      </c>
      <c r="DE5" s="10" t="n">
        <v>-0.227972</v>
      </c>
      <c r="DF5" s="10" t="n">
        <v>-0.33716</v>
      </c>
      <c r="DG5" s="10" t="n">
        <v>-0.444004</v>
      </c>
      <c r="DH5" s="10" t="n">
        <v>-0.042933</v>
      </c>
      <c r="DI5" s="10" t="n">
        <v>0.308969</v>
      </c>
      <c r="DJ5" s="10" t="n">
        <v>-0.286692</v>
      </c>
      <c r="DK5" s="10" t="n">
        <v>0.846212</v>
      </c>
      <c r="DL5" s="10" t="n">
        <v>-0.16924</v>
      </c>
      <c r="DM5" s="10" t="n">
        <v>-0.43945</v>
      </c>
      <c r="DN5" s="10" t="n">
        <v>0.747513</v>
      </c>
      <c r="DO5" s="10" t="n">
        <v>-0.399964</v>
      </c>
      <c r="DP5" s="10" t="n">
        <v>-0.044863</v>
      </c>
      <c r="DQ5" s="10" t="n">
        <v>-0.588634</v>
      </c>
      <c r="DR5" s="10" t="n">
        <v>-0.006563</v>
      </c>
      <c r="DS5" s="10" t="n">
        <v>-0.198785</v>
      </c>
      <c r="DT5" s="10" t="n">
        <v>0.413212</v>
      </c>
      <c r="DU5" s="10" t="n">
        <v>-0.170654</v>
      </c>
      <c r="DV5" s="10" t="n">
        <v>0.68828</v>
      </c>
      <c r="DW5" s="10" t="n">
        <v>0.040806</v>
      </c>
      <c r="DX5" s="10" t="n">
        <v>-0.199935</v>
      </c>
      <c r="DY5" s="10" t="n">
        <v>0.566314</v>
      </c>
      <c r="DZ5" s="10" t="n">
        <v>0.473629</v>
      </c>
      <c r="EA5" s="10" t="n">
        <v>0.095445</v>
      </c>
      <c r="EB5" s="10" t="n">
        <v>-1.076361</v>
      </c>
      <c r="EC5" s="10" t="n">
        <v>-0.136106</v>
      </c>
      <c r="ED5" s="10" t="n">
        <v>-0.273497</v>
      </c>
      <c r="EE5" s="10" t="n">
        <v>0.601349</v>
      </c>
      <c r="EF5" s="10" t="n">
        <v>0.006747</v>
      </c>
    </row>
    <row r="6" ht="17.7" customFormat="1" customHeight="1" s="6" thickBot="1">
      <c r="A6" s="50" t="inlineStr">
        <is>
          <t>選絕對值最大</t>
        </is>
      </c>
      <c r="B6" s="51" t="n"/>
      <c r="C6" s="11" t="n">
        <v>3</v>
      </c>
      <c r="D6" s="11" t="n">
        <v>2</v>
      </c>
      <c r="E6" s="11" t="n">
        <v>3</v>
      </c>
      <c r="F6" s="11" t="n">
        <v>3</v>
      </c>
      <c r="G6" s="11" t="n">
        <v>3</v>
      </c>
      <c r="H6" s="11" t="n">
        <v>3</v>
      </c>
      <c r="I6" s="11" t="n">
        <v>1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1</v>
      </c>
      <c r="P6" s="11" t="n">
        <v>3</v>
      </c>
      <c r="Q6" s="11" t="n">
        <v>1</v>
      </c>
      <c r="R6" s="11" t="n">
        <v>1</v>
      </c>
      <c r="S6" s="11" t="n">
        <v>3</v>
      </c>
      <c r="T6" s="11" t="n">
        <v>1</v>
      </c>
      <c r="U6" s="11" t="n">
        <v>1</v>
      </c>
      <c r="V6" s="11" t="n">
        <v>3</v>
      </c>
      <c r="W6" s="11" t="n">
        <v>3</v>
      </c>
      <c r="X6" s="11" t="n">
        <v>2</v>
      </c>
      <c r="Y6" s="11" t="n">
        <v>3</v>
      </c>
      <c r="Z6" s="11" t="n">
        <v>1</v>
      </c>
      <c r="AA6" s="11" t="n">
        <v>1</v>
      </c>
      <c r="AB6" s="11" t="n">
        <v>1</v>
      </c>
      <c r="AC6" s="11" t="n">
        <v>3</v>
      </c>
      <c r="AD6" s="11" t="n">
        <v>3</v>
      </c>
      <c r="AE6" s="11" t="n">
        <v>3</v>
      </c>
      <c r="AF6" s="11" t="n">
        <v>3</v>
      </c>
      <c r="AG6" s="11" t="n">
        <v>3</v>
      </c>
      <c r="AH6" s="11" t="n">
        <v>3</v>
      </c>
      <c r="AI6" s="11" t="n">
        <v>3</v>
      </c>
      <c r="AJ6" s="11" t="n">
        <v>3</v>
      </c>
      <c r="AK6" s="11" t="n">
        <v>3</v>
      </c>
      <c r="AL6" s="11" t="n">
        <v>1</v>
      </c>
      <c r="AM6" s="11" t="n">
        <v>1</v>
      </c>
      <c r="AN6" s="11" t="n">
        <v>1</v>
      </c>
      <c r="AO6" s="11" t="n">
        <v>3</v>
      </c>
      <c r="AP6" s="11" t="n">
        <v>2</v>
      </c>
      <c r="AQ6" s="11" t="n">
        <v>1</v>
      </c>
      <c r="AR6" s="11" t="n">
        <v>2</v>
      </c>
      <c r="AS6" s="11" t="n">
        <v>1</v>
      </c>
      <c r="AT6" s="11" t="n">
        <v>3</v>
      </c>
      <c r="AU6" s="11" t="n">
        <v>3</v>
      </c>
      <c r="AV6" s="11" t="n">
        <v>2</v>
      </c>
      <c r="AW6" s="11" t="n">
        <v>1</v>
      </c>
      <c r="AX6" s="11" t="n">
        <v>3</v>
      </c>
      <c r="AY6" s="11" t="n">
        <v>3</v>
      </c>
      <c r="AZ6" s="11" t="n">
        <v>3</v>
      </c>
      <c r="BA6" s="11" t="n">
        <v>1</v>
      </c>
      <c r="BB6" s="11" t="n">
        <v>2</v>
      </c>
      <c r="BC6" s="11" t="n">
        <v>1</v>
      </c>
      <c r="BD6" s="11" t="n">
        <v>1</v>
      </c>
      <c r="BE6" s="11" t="n">
        <v>1</v>
      </c>
      <c r="BF6" s="11" t="n">
        <v>3</v>
      </c>
      <c r="BG6" s="11" t="n">
        <v>1</v>
      </c>
      <c r="BH6" s="11" t="n">
        <v>1</v>
      </c>
      <c r="BI6" s="11" t="n">
        <v>3</v>
      </c>
      <c r="BJ6" s="11" t="n">
        <v>3</v>
      </c>
      <c r="BK6" s="11" t="n">
        <v>3</v>
      </c>
      <c r="BL6" s="11" t="n">
        <v>3</v>
      </c>
      <c r="BM6" s="11" t="n">
        <v>3</v>
      </c>
      <c r="BN6" s="11" t="n">
        <v>3</v>
      </c>
      <c r="BO6" s="11" t="n">
        <v>1</v>
      </c>
      <c r="BP6" s="11" t="n">
        <v>2</v>
      </c>
      <c r="BQ6" s="11" t="n">
        <v>3</v>
      </c>
      <c r="BR6" s="11" t="n">
        <v>1</v>
      </c>
      <c r="BS6" s="11" t="n">
        <v>3</v>
      </c>
      <c r="BT6" s="11" t="n">
        <v>3</v>
      </c>
      <c r="BU6" s="11" t="n">
        <v>1</v>
      </c>
      <c r="BV6" s="11" t="n">
        <v>2</v>
      </c>
      <c r="BW6" s="11" t="n">
        <v>3</v>
      </c>
      <c r="BX6" s="11" t="n">
        <v>3</v>
      </c>
      <c r="BY6" s="11" t="n">
        <v>2</v>
      </c>
      <c r="BZ6" s="11" t="n">
        <v>1</v>
      </c>
      <c r="CA6" s="11" t="n">
        <v>1</v>
      </c>
      <c r="CB6" s="11" t="n">
        <v>2</v>
      </c>
      <c r="CC6" s="11" t="n">
        <v>2</v>
      </c>
      <c r="CD6" s="11" t="n">
        <v>3</v>
      </c>
      <c r="CE6" s="11" t="n">
        <v>1</v>
      </c>
      <c r="CF6" s="11" t="n">
        <v>3</v>
      </c>
      <c r="CG6" s="11" t="n">
        <v>3</v>
      </c>
      <c r="CH6" s="11" t="n">
        <v>3</v>
      </c>
      <c r="CI6" s="11" t="n">
        <v>3</v>
      </c>
      <c r="CJ6" s="11" t="n">
        <v>1</v>
      </c>
      <c r="CK6" s="11" t="n">
        <v>3</v>
      </c>
      <c r="CL6" s="11" t="n">
        <v>3</v>
      </c>
      <c r="CM6" s="11" t="n">
        <v>1</v>
      </c>
      <c r="CN6" s="11" t="n">
        <v>1</v>
      </c>
      <c r="CO6" s="11" t="n">
        <v>3</v>
      </c>
      <c r="CP6" s="11" t="n">
        <v>1</v>
      </c>
      <c r="CQ6" s="11" t="n">
        <v>3</v>
      </c>
      <c r="CR6" s="11" t="n">
        <v>3</v>
      </c>
      <c r="CS6" s="11" t="n">
        <v>2</v>
      </c>
      <c r="CT6" s="11" t="n">
        <v>3</v>
      </c>
      <c r="CU6" s="11" t="n">
        <v>3</v>
      </c>
      <c r="CV6" s="11" t="n">
        <v>2</v>
      </c>
      <c r="CW6" s="11" t="n">
        <v>3</v>
      </c>
      <c r="CX6" s="11" t="n">
        <v>3</v>
      </c>
      <c r="CY6" s="11" t="n">
        <v>3</v>
      </c>
      <c r="CZ6" s="11" t="n">
        <v>3</v>
      </c>
      <c r="DA6" s="11" t="n">
        <v>1</v>
      </c>
      <c r="DB6" s="11" t="n">
        <v>1</v>
      </c>
      <c r="DC6" s="11" t="n">
        <v>1</v>
      </c>
      <c r="DD6" s="11" t="n">
        <v>3</v>
      </c>
      <c r="DE6" s="11" t="n">
        <v>3</v>
      </c>
      <c r="DF6" s="11" t="n">
        <v>3</v>
      </c>
      <c r="DG6" s="11" t="n">
        <v>3</v>
      </c>
      <c r="DH6" s="11" t="n">
        <v>2</v>
      </c>
      <c r="DI6" s="11" t="n">
        <v>3</v>
      </c>
      <c r="DJ6" s="11" t="n">
        <v>3</v>
      </c>
      <c r="DK6" s="11" t="n">
        <v>3</v>
      </c>
      <c r="DL6" s="11" t="n">
        <v>3</v>
      </c>
      <c r="DM6" s="11" t="n">
        <v>3</v>
      </c>
      <c r="DN6" s="11" t="n">
        <v>3</v>
      </c>
      <c r="DO6" s="11" t="n">
        <v>3</v>
      </c>
      <c r="DP6" s="11" t="n">
        <v>1</v>
      </c>
      <c r="DQ6" s="11" t="n">
        <v>3</v>
      </c>
      <c r="DR6" s="11" t="n">
        <v>2</v>
      </c>
      <c r="DS6" s="11" t="n">
        <v>3</v>
      </c>
      <c r="DT6" s="11" t="n">
        <v>3</v>
      </c>
      <c r="DU6" s="11" t="n">
        <v>3</v>
      </c>
      <c r="DV6" s="11" t="n">
        <v>3</v>
      </c>
      <c r="DW6" s="11" t="n">
        <v>1</v>
      </c>
      <c r="DX6" s="11" t="n">
        <v>3</v>
      </c>
      <c r="DY6" s="11" t="n">
        <v>3</v>
      </c>
      <c r="DZ6" s="11" t="n">
        <v>3</v>
      </c>
      <c r="EA6" s="11" t="n">
        <v>2</v>
      </c>
      <c r="EB6" s="11" t="n">
        <v>3</v>
      </c>
      <c r="EC6" s="11" t="n">
        <v>3</v>
      </c>
      <c r="ED6" s="11" t="n">
        <v>3</v>
      </c>
      <c r="EE6" s="11" t="n">
        <v>3</v>
      </c>
      <c r="EF6" s="11" t="n">
        <v>2</v>
      </c>
    </row>
    <row r="7" ht="16.2" customHeight="1" s="54" thickBot="1">
      <c r="C7" s="11" t="inlineStr">
        <is>
          <t>mom</t>
        </is>
      </c>
      <c r="D7" s="11" t="inlineStr">
        <is>
          <t>size</t>
        </is>
      </c>
      <c r="E7" s="11" t="inlineStr">
        <is>
          <t>mom</t>
        </is>
      </c>
      <c r="F7" s="11" t="inlineStr">
        <is>
          <t>mom</t>
        </is>
      </c>
      <c r="G7" s="11" t="inlineStr">
        <is>
          <t>mom</t>
        </is>
      </c>
      <c r="H7" s="11" t="inlineStr">
        <is>
          <t>mom</t>
        </is>
      </c>
      <c r="I7" s="11" t="inlineStr">
        <is>
          <t>bm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bm</t>
        </is>
      </c>
      <c r="P7" s="11" t="inlineStr">
        <is>
          <t>mom</t>
        </is>
      </c>
      <c r="Q7" s="11" t="inlineStr">
        <is>
          <t>bm</t>
        </is>
      </c>
      <c r="R7" s="11" t="inlineStr">
        <is>
          <t>bm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bm</t>
        </is>
      </c>
      <c r="V7" s="11" t="inlineStr">
        <is>
          <t>mom</t>
        </is>
      </c>
      <c r="W7" s="11" t="inlineStr">
        <is>
          <t>mom</t>
        </is>
      </c>
      <c r="X7" s="11" t="inlineStr">
        <is>
          <t>size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bm</t>
        </is>
      </c>
      <c r="AC7" s="11" t="inlineStr">
        <is>
          <t>mom</t>
        </is>
      </c>
      <c r="AD7" s="11" t="inlineStr">
        <is>
          <t>mom</t>
        </is>
      </c>
      <c r="AE7" s="11" t="inlineStr">
        <is>
          <t>mom</t>
        </is>
      </c>
      <c r="AF7" s="11" t="inlineStr">
        <is>
          <t>mom</t>
        </is>
      </c>
      <c r="AG7" s="11" t="inlineStr">
        <is>
          <t>mom</t>
        </is>
      </c>
      <c r="AH7" s="11" t="inlineStr">
        <is>
          <t>mom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mom</t>
        </is>
      </c>
      <c r="AL7" s="11" t="inlineStr">
        <is>
          <t>bm</t>
        </is>
      </c>
      <c r="AM7" s="11" t="inlineStr">
        <is>
          <t>bm</t>
        </is>
      </c>
      <c r="AN7" s="11" t="inlineStr">
        <is>
          <t>bm</t>
        </is>
      </c>
      <c r="AO7" s="11" t="inlineStr">
        <is>
          <t>mom</t>
        </is>
      </c>
      <c r="AP7" s="11" t="inlineStr">
        <is>
          <t>size</t>
        </is>
      </c>
      <c r="AQ7" s="11" t="inlineStr">
        <is>
          <t>bm</t>
        </is>
      </c>
      <c r="AR7" s="11" t="inlineStr">
        <is>
          <t>size</t>
        </is>
      </c>
      <c r="AS7" s="11" t="inlineStr">
        <is>
          <t>bm</t>
        </is>
      </c>
      <c r="AT7" s="11" t="inlineStr">
        <is>
          <t>mom</t>
        </is>
      </c>
      <c r="AU7" s="11" t="inlineStr">
        <is>
          <t>mom</t>
        </is>
      </c>
      <c r="AV7" s="11" t="inlineStr">
        <is>
          <t>size</t>
        </is>
      </c>
      <c r="AW7" s="11" t="inlineStr">
        <is>
          <t>bm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bm</t>
        </is>
      </c>
      <c r="BB7" s="11" t="inlineStr">
        <is>
          <t>size</t>
        </is>
      </c>
      <c r="BC7" s="11" t="inlineStr">
        <is>
          <t>bm</t>
        </is>
      </c>
      <c r="BD7" s="11" t="inlineStr">
        <is>
          <t>bm</t>
        </is>
      </c>
      <c r="BE7" s="11" t="inlineStr">
        <is>
          <t>bm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bm</t>
        </is>
      </c>
      <c r="BI7" s="11" t="inlineStr">
        <is>
          <t>mom</t>
        </is>
      </c>
      <c r="BJ7" s="11" t="inlineStr">
        <is>
          <t>mom</t>
        </is>
      </c>
      <c r="BK7" s="11" t="inlineStr">
        <is>
          <t>mom</t>
        </is>
      </c>
      <c r="BL7" s="11" t="inlineStr">
        <is>
          <t>mom</t>
        </is>
      </c>
      <c r="BM7" s="11" t="inlineStr">
        <is>
          <t>mom</t>
        </is>
      </c>
      <c r="BN7" s="11" t="inlineStr">
        <is>
          <t>mom</t>
        </is>
      </c>
      <c r="BO7" s="11" t="inlineStr">
        <is>
          <t>bm</t>
        </is>
      </c>
      <c r="BP7" s="11" t="inlineStr">
        <is>
          <t>size</t>
        </is>
      </c>
      <c r="BQ7" s="11" t="inlineStr">
        <is>
          <t>mom</t>
        </is>
      </c>
      <c r="BR7" s="11" t="inlineStr">
        <is>
          <t>bm</t>
        </is>
      </c>
      <c r="BS7" s="11" t="inlineStr">
        <is>
          <t>mom</t>
        </is>
      </c>
      <c r="BT7" s="11" t="inlineStr">
        <is>
          <t>mom</t>
        </is>
      </c>
      <c r="BU7" s="11" t="inlineStr">
        <is>
          <t>bm</t>
        </is>
      </c>
      <c r="BV7" s="11" t="inlineStr">
        <is>
          <t>size</t>
        </is>
      </c>
      <c r="BW7" s="11" t="inlineStr">
        <is>
          <t>mom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bm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mom</t>
        </is>
      </c>
      <c r="CE7" s="11" t="inlineStr">
        <is>
          <t>bm</t>
        </is>
      </c>
      <c r="CF7" s="11" t="inlineStr">
        <is>
          <t>mom</t>
        </is>
      </c>
      <c r="CG7" s="11" t="inlineStr">
        <is>
          <t>mom</t>
        </is>
      </c>
      <c r="CH7" s="11" t="inlineStr">
        <is>
          <t>mom</t>
        </is>
      </c>
      <c r="CI7" s="11" t="inlineStr">
        <is>
          <t>mom</t>
        </is>
      </c>
      <c r="CJ7" s="11" t="inlineStr">
        <is>
          <t>bm</t>
        </is>
      </c>
      <c r="CK7" s="11" t="inlineStr">
        <is>
          <t>mom</t>
        </is>
      </c>
      <c r="CL7" s="11" t="inlineStr">
        <is>
          <t>mom</t>
        </is>
      </c>
      <c r="CM7" s="11" t="inlineStr">
        <is>
          <t>bm</t>
        </is>
      </c>
      <c r="CN7" s="11" t="inlineStr">
        <is>
          <t>bm</t>
        </is>
      </c>
      <c r="CO7" s="11" t="inlineStr">
        <is>
          <t>mom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size</t>
        </is>
      </c>
      <c r="CT7" s="11" t="inlineStr">
        <is>
          <t>mom</t>
        </is>
      </c>
      <c r="CU7" s="11" t="inlineStr">
        <is>
          <t>mom</t>
        </is>
      </c>
      <c r="CV7" s="11" t="inlineStr">
        <is>
          <t>size</t>
        </is>
      </c>
      <c r="CW7" s="11" t="inlineStr">
        <is>
          <t>mom</t>
        </is>
      </c>
      <c r="CX7" s="11" t="inlineStr">
        <is>
          <t>mom</t>
        </is>
      </c>
      <c r="CY7" s="11" t="inlineStr">
        <is>
          <t>mom</t>
        </is>
      </c>
      <c r="CZ7" s="11" t="inlineStr">
        <is>
          <t>mom</t>
        </is>
      </c>
      <c r="DA7" s="11" t="inlineStr">
        <is>
          <t>bm</t>
        </is>
      </c>
      <c r="DB7" s="11" t="inlineStr">
        <is>
          <t>bm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mom</t>
        </is>
      </c>
      <c r="DG7" s="11" t="inlineStr">
        <is>
          <t>mom</t>
        </is>
      </c>
      <c r="DH7" s="11" t="inlineStr">
        <is>
          <t>size</t>
        </is>
      </c>
      <c r="DI7" s="11" t="inlineStr">
        <is>
          <t>mom</t>
        </is>
      </c>
      <c r="DJ7" s="11" t="inlineStr">
        <is>
          <t>mom</t>
        </is>
      </c>
      <c r="DK7" s="11" t="inlineStr">
        <is>
          <t>mom</t>
        </is>
      </c>
      <c r="DL7" s="11" t="inlineStr">
        <is>
          <t>mom</t>
        </is>
      </c>
      <c r="DM7" s="11" t="inlineStr">
        <is>
          <t>mom</t>
        </is>
      </c>
      <c r="DN7" s="11" t="inlineStr">
        <is>
          <t>mom</t>
        </is>
      </c>
      <c r="DO7" s="11" t="inlineStr">
        <is>
          <t>mom</t>
        </is>
      </c>
      <c r="DP7" s="11" t="inlineStr">
        <is>
          <t>bm</t>
        </is>
      </c>
      <c r="DQ7" s="11" t="inlineStr">
        <is>
          <t>mom</t>
        </is>
      </c>
      <c r="DR7" s="11" t="inlineStr">
        <is>
          <t>size</t>
        </is>
      </c>
      <c r="DS7" s="11" t="inlineStr">
        <is>
          <t>mom</t>
        </is>
      </c>
      <c r="DT7" s="11" t="inlineStr">
        <is>
          <t>mom</t>
        </is>
      </c>
      <c r="DU7" s="11" t="inlineStr">
        <is>
          <t>mom</t>
        </is>
      </c>
      <c r="DV7" s="11" t="inlineStr">
        <is>
          <t>mom</t>
        </is>
      </c>
      <c r="DW7" s="11" t="inlineStr">
        <is>
          <t>bm</t>
        </is>
      </c>
      <c r="DX7" s="11" t="inlineStr">
        <is>
          <t>mom</t>
        </is>
      </c>
      <c r="DY7" s="11" t="inlineStr">
        <is>
          <t>mom</t>
        </is>
      </c>
      <c r="DZ7" s="11" t="inlineStr">
        <is>
          <t>mom</t>
        </is>
      </c>
      <c r="EA7" s="11" t="inlineStr">
        <is>
          <t>size</t>
        </is>
      </c>
      <c r="EB7" s="11" t="inlineStr">
        <is>
          <t>mom</t>
        </is>
      </c>
      <c r="EC7" s="11" t="inlineStr">
        <is>
          <t>mom</t>
        </is>
      </c>
      <c r="ED7" s="11" t="inlineStr">
        <is>
          <t>mom</t>
        </is>
      </c>
      <c r="EE7" s="11" t="inlineStr">
        <is>
          <t>mom</t>
        </is>
      </c>
      <c r="EF7" s="11" t="inlineStr">
        <is>
          <t>size</t>
        </is>
      </c>
    </row>
    <row r="8" ht="16.2" customHeight="1" s="54" thickBot="1">
      <c r="C8" s="11" t="n">
        <v>-0.209358</v>
      </c>
      <c r="D8" s="11" t="n">
        <v>-0.196253</v>
      </c>
      <c r="E8" s="11" t="n">
        <v>0.524848</v>
      </c>
      <c r="F8" s="11" t="n">
        <v>0.046837</v>
      </c>
      <c r="G8" s="11" t="n">
        <v>-0.210471</v>
      </c>
      <c r="H8" s="11" t="n">
        <v>0.474415</v>
      </c>
      <c r="I8" s="11" t="n">
        <v>-0.196766</v>
      </c>
      <c r="J8" s="11" t="n">
        <v>0.27883</v>
      </c>
      <c r="K8" s="11" t="n">
        <v>0.275528</v>
      </c>
      <c r="L8" s="11" t="n">
        <v>-0.430043</v>
      </c>
      <c r="M8" s="11" t="n">
        <v>0.323768</v>
      </c>
      <c r="N8" s="11" t="n">
        <v>-0.348242</v>
      </c>
      <c r="O8" s="11" t="n">
        <v>0.310847</v>
      </c>
      <c r="P8" s="11" t="n">
        <v>0.395466</v>
      </c>
      <c r="Q8" s="11" t="n">
        <v>-0.123071</v>
      </c>
      <c r="R8" s="11" t="n">
        <v>-0.112558</v>
      </c>
      <c r="S8" s="11" t="n">
        <v>0.305792</v>
      </c>
      <c r="T8" s="11" t="n">
        <v>-0.144585</v>
      </c>
      <c r="U8" s="11" t="n">
        <v>-0.262808</v>
      </c>
      <c r="V8" s="11" t="n">
        <v>-0.139367</v>
      </c>
      <c r="W8" s="11" t="n">
        <v>-0.39469</v>
      </c>
      <c r="X8" s="11" t="n">
        <v>-0.169731</v>
      </c>
      <c r="Y8" s="11" t="n">
        <v>-0.681273</v>
      </c>
      <c r="Z8" s="11" t="n">
        <v>0.10309</v>
      </c>
      <c r="AA8" s="11" t="n">
        <v>0.486377</v>
      </c>
      <c r="AB8" s="11" t="n">
        <v>-0.23482</v>
      </c>
      <c r="AC8" s="11" t="n">
        <v>-0.08916300000000001</v>
      </c>
      <c r="AD8" s="11" t="n">
        <v>0.145141</v>
      </c>
      <c r="AE8" s="11" t="n">
        <v>0.074669</v>
      </c>
      <c r="AF8" s="11" t="n">
        <v>0.17577</v>
      </c>
      <c r="AG8" s="11" t="n">
        <v>-0.30336</v>
      </c>
      <c r="AH8" s="11" t="n">
        <v>-0.34825</v>
      </c>
      <c r="AI8" s="11" t="n">
        <v>0.258724</v>
      </c>
      <c r="AJ8" s="11" t="n">
        <v>-0.488892</v>
      </c>
      <c r="AK8" s="11" t="n">
        <v>0.132548</v>
      </c>
      <c r="AL8" s="11" t="n">
        <v>0.187381</v>
      </c>
      <c r="AM8" s="11" t="n">
        <v>0.09683700000000001</v>
      </c>
      <c r="AN8" s="11" t="n">
        <v>0.207574</v>
      </c>
      <c r="AO8" s="11" t="n">
        <v>0.184463</v>
      </c>
      <c r="AP8" s="11" t="n">
        <v>0.079751</v>
      </c>
      <c r="AQ8" s="11" t="n">
        <v>-0.21144</v>
      </c>
      <c r="AR8" s="11" t="n">
        <v>0.114431</v>
      </c>
      <c r="AS8" s="11" t="n">
        <v>0.14111</v>
      </c>
      <c r="AT8" s="11" t="n">
        <v>0.151645</v>
      </c>
      <c r="AU8" s="11" t="n">
        <v>-0.200837</v>
      </c>
      <c r="AV8" s="11" t="n">
        <v>-0.217699</v>
      </c>
      <c r="AW8" s="11" t="n">
        <v>-0.174155</v>
      </c>
      <c r="AX8" s="11" t="n">
        <v>0.112293</v>
      </c>
      <c r="AY8" s="11" t="n">
        <v>-0.118056</v>
      </c>
      <c r="AZ8" s="11" t="n">
        <v>0.20622</v>
      </c>
      <c r="BA8" s="11" t="n">
        <v>0.1605</v>
      </c>
      <c r="BB8" s="11" t="n">
        <v>-0.252464</v>
      </c>
      <c r="BC8" s="11" t="n">
        <v>0.156737</v>
      </c>
      <c r="BD8" s="11" t="n">
        <v>0.166883</v>
      </c>
      <c r="BE8" s="11" t="n">
        <v>-0.131472</v>
      </c>
      <c r="BF8" s="11" t="n">
        <v>-0.285262</v>
      </c>
      <c r="BG8" s="11" t="n">
        <v>0.315311</v>
      </c>
      <c r="BH8" s="11" t="n">
        <v>0.270101</v>
      </c>
      <c r="BI8" s="11" t="n">
        <v>0.058127</v>
      </c>
      <c r="BJ8" s="11" t="n">
        <v>-0.25987</v>
      </c>
      <c r="BK8" s="11" t="n">
        <v>0.184879</v>
      </c>
      <c r="BL8" s="11" t="n">
        <v>-0.269132</v>
      </c>
      <c r="BM8" s="11" t="n">
        <v>0.171738</v>
      </c>
      <c r="BN8" s="11" t="n">
        <v>-0.180922</v>
      </c>
      <c r="BO8" s="11" t="n">
        <v>-0.149288</v>
      </c>
      <c r="BP8" s="11" t="n">
        <v>0.08362700000000001</v>
      </c>
      <c r="BQ8" s="11" t="n">
        <v>-0.16861</v>
      </c>
      <c r="BR8" s="11" t="n">
        <v>0.213465</v>
      </c>
      <c r="BS8" s="11" t="n">
        <v>0.124424</v>
      </c>
      <c r="BT8" s="11" t="n">
        <v>0.207722</v>
      </c>
      <c r="BU8" s="11" t="n">
        <v>0.113779</v>
      </c>
      <c r="BV8" s="11" t="n">
        <v>0.171973</v>
      </c>
      <c r="BW8" s="11" t="n">
        <v>-0.126802</v>
      </c>
      <c r="BX8" s="11" t="n">
        <v>-0.10582</v>
      </c>
      <c r="BY8" s="11" t="n">
        <v>-0.182695</v>
      </c>
      <c r="BZ8" s="11" t="n">
        <v>-0.140713</v>
      </c>
      <c r="CA8" s="11" t="n">
        <v>0.073473</v>
      </c>
      <c r="CB8" s="11" t="n">
        <v>0.198019</v>
      </c>
      <c r="CC8" s="11" t="n">
        <v>-0.294464</v>
      </c>
      <c r="CD8" s="11" t="n">
        <v>0.327423</v>
      </c>
      <c r="CE8" s="11" t="n">
        <v>0.218797</v>
      </c>
      <c r="CF8" s="11" t="n">
        <v>-0.149373</v>
      </c>
      <c r="CG8" s="11" t="n">
        <v>0.1632</v>
      </c>
      <c r="CH8" s="11" t="n">
        <v>-0.069038</v>
      </c>
      <c r="CI8" s="11" t="n">
        <v>-0.115362</v>
      </c>
      <c r="CJ8" s="11" t="n">
        <v>-0.391113</v>
      </c>
      <c r="CK8" s="11" t="n">
        <v>0.378974</v>
      </c>
      <c r="CL8" s="11" t="n">
        <v>-0.07638300000000001</v>
      </c>
      <c r="CM8" s="11" t="n">
        <v>0.183112</v>
      </c>
      <c r="CN8" s="11" t="n">
        <v>-0.397462</v>
      </c>
      <c r="CO8" s="11" t="n">
        <v>0.437168</v>
      </c>
      <c r="CP8" s="11" t="n">
        <v>-0.095682</v>
      </c>
      <c r="CQ8" s="11" t="n">
        <v>-0.499352</v>
      </c>
      <c r="CR8" s="11" t="n">
        <v>0.339857</v>
      </c>
      <c r="CS8" s="11" t="n">
        <v>-0.279011</v>
      </c>
      <c r="CT8" s="11" t="n">
        <v>0.22462</v>
      </c>
      <c r="CU8" s="11" t="n">
        <v>-0.251718</v>
      </c>
      <c r="CV8" s="11" t="n">
        <v>0.11175</v>
      </c>
      <c r="CW8" s="11" t="n">
        <v>0.210877</v>
      </c>
      <c r="CX8" s="11" t="n">
        <v>0.250162</v>
      </c>
      <c r="CY8" s="11" t="n">
        <v>-0.524134</v>
      </c>
      <c r="CZ8" s="11" t="n">
        <v>0.821618</v>
      </c>
      <c r="DA8" s="11" t="n">
        <v>0.312541</v>
      </c>
      <c r="DB8" s="11" t="n">
        <v>-0.155646</v>
      </c>
      <c r="DC8" s="11" t="n">
        <v>-0.186959</v>
      </c>
      <c r="DD8" s="11" t="n">
        <v>-0.420839</v>
      </c>
      <c r="DE8" s="11" t="n">
        <v>-0.227972</v>
      </c>
      <c r="DF8" s="11" t="n">
        <v>-0.33716</v>
      </c>
      <c r="DG8" s="11" t="n">
        <v>-0.444004</v>
      </c>
      <c r="DH8" s="11" t="n">
        <v>0.157626</v>
      </c>
      <c r="DI8" s="11" t="n">
        <v>0.308969</v>
      </c>
      <c r="DJ8" s="11" t="n">
        <v>-0.286692</v>
      </c>
      <c r="DK8" s="11" t="n">
        <v>0.846212</v>
      </c>
      <c r="DL8" s="11" t="n">
        <v>-0.16924</v>
      </c>
      <c r="DM8" s="11" t="n">
        <v>-0.43945</v>
      </c>
      <c r="DN8" s="11" t="n">
        <v>0.747513</v>
      </c>
      <c r="DO8" s="11" t="n">
        <v>-0.399964</v>
      </c>
      <c r="DP8" s="11" t="n">
        <v>0.161131</v>
      </c>
      <c r="DQ8" s="11" t="n">
        <v>-0.588634</v>
      </c>
      <c r="DR8" s="11" t="n">
        <v>-0.129244</v>
      </c>
      <c r="DS8" s="11" t="n">
        <v>-0.198785</v>
      </c>
      <c r="DT8" s="11" t="n">
        <v>0.413212</v>
      </c>
      <c r="DU8" s="11" t="n">
        <v>-0.170654</v>
      </c>
      <c r="DV8" s="11" t="n">
        <v>0.68828</v>
      </c>
      <c r="DW8" s="11" t="n">
        <v>0.06615600000000001</v>
      </c>
      <c r="DX8" s="11" t="n">
        <v>-0.199935</v>
      </c>
      <c r="DY8" s="11" t="n">
        <v>0.566314</v>
      </c>
      <c r="DZ8" s="11" t="n">
        <v>0.473629</v>
      </c>
      <c r="EA8" s="11" t="n">
        <v>-0.194881</v>
      </c>
      <c r="EB8" s="11" t="n">
        <v>-1.076361</v>
      </c>
      <c r="EC8" s="11" t="n">
        <v>-0.136106</v>
      </c>
      <c r="ED8" s="11" t="n">
        <v>-0.273497</v>
      </c>
      <c r="EE8" s="11" t="n">
        <v>0.601349</v>
      </c>
      <c r="EF8" s="11" t="n">
        <v>0.243811</v>
      </c>
    </row>
    <row r="9" ht="16.2" customHeight="1" s="54" thickBot="1"/>
    <row r="10" ht="17.7" customHeight="1" s="54" thickBot="1">
      <c r="A10" s="50" t="inlineStr">
        <is>
          <t>投資組合</t>
        </is>
      </c>
      <c r="B10" s="51" t="n"/>
      <c r="C10" s="13" t="inlineStr">
        <is>
          <t>公司數</t>
        </is>
      </c>
      <c r="D10" s="50" t="n">
        <v>964</v>
      </c>
    </row>
    <row r="11" ht="17.7" customHeight="1" s="54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  <c r="EG11" s="14" t="n"/>
    </row>
    <row r="12" ht="16.2" customFormat="1" customHeight="1" s="8" thickBot="1">
      <c r="A12" s="50" t="n">
        <v>10</v>
      </c>
      <c r="B12" s="50" t="n">
        <v>96</v>
      </c>
      <c r="C12" s="11" t="n">
        <v>0.08669241</v>
      </c>
      <c r="D12" s="11">
        <f> C12+預測IC!D12</f>
        <v/>
      </c>
      <c r="E12" s="11">
        <f> D12+預測IC!E12</f>
        <v/>
      </c>
      <c r="F12" s="11">
        <f> E12+預測IC!F12</f>
        <v/>
      </c>
      <c r="G12" s="11">
        <f> F12+預測IC!G12</f>
        <v/>
      </c>
      <c r="H12" s="11">
        <f> G12+預測IC!H12</f>
        <v/>
      </c>
      <c r="I12" s="11">
        <f> H12+預測IC!I12</f>
        <v/>
      </c>
      <c r="J12" s="11">
        <f> I12+預測IC!J12</f>
        <v/>
      </c>
      <c r="K12" s="11">
        <f> J12+預測IC!K12</f>
        <v/>
      </c>
      <c r="L12" s="11">
        <f> K12+預測IC!L12</f>
        <v/>
      </c>
      <c r="M12" s="11">
        <f> L12+預測IC!M12</f>
        <v/>
      </c>
      <c r="N12" s="11">
        <f> M12+預測IC!N12</f>
        <v/>
      </c>
      <c r="O12" s="11">
        <f> N12+預測IC!O12</f>
        <v/>
      </c>
      <c r="P12" s="11">
        <f> O12+預測IC!P12</f>
        <v/>
      </c>
      <c r="Q12" s="11">
        <f> P12+預測IC!Q12</f>
        <v/>
      </c>
      <c r="R12" s="11">
        <f> Q12+預測IC!R12</f>
        <v/>
      </c>
      <c r="S12" s="11">
        <f> R12+預測IC!S12</f>
        <v/>
      </c>
      <c r="T12" s="11">
        <f> S12+預測IC!T12</f>
        <v/>
      </c>
      <c r="U12" s="11">
        <f> T12+預測IC!U12</f>
        <v/>
      </c>
      <c r="V12" s="11">
        <f> U12+預測IC!V12</f>
        <v/>
      </c>
      <c r="W12" s="11">
        <f> V12+預測IC!W12</f>
        <v/>
      </c>
      <c r="X12" s="11">
        <f> W12+預測IC!X12</f>
        <v/>
      </c>
      <c r="Y12" s="11">
        <f> X12+預測IC!Y12</f>
        <v/>
      </c>
      <c r="Z12" s="11">
        <f> Y12+預測IC!Z12</f>
        <v/>
      </c>
      <c r="AA12" s="11">
        <f> Z12+預測IC!AA12</f>
        <v/>
      </c>
      <c r="AB12" s="11">
        <f> AA12+預測IC!AB12</f>
        <v/>
      </c>
      <c r="AC12" s="11">
        <f> AB12+預測IC!AC12</f>
        <v/>
      </c>
      <c r="AD12" s="11">
        <f> AC12+預測IC!AD12</f>
        <v/>
      </c>
      <c r="AE12" s="11">
        <f> AD12+預測IC!AE12</f>
        <v/>
      </c>
      <c r="AF12" s="11">
        <f> AE12+預測IC!AF12</f>
        <v/>
      </c>
      <c r="AG12" s="11">
        <f> AF12+預測IC!AG12</f>
        <v/>
      </c>
      <c r="AH12" s="11">
        <f> AG12+預測IC!AH12</f>
        <v/>
      </c>
      <c r="AI12" s="11">
        <f> AH12+預測IC!AI12</f>
        <v/>
      </c>
      <c r="AJ12" s="11">
        <f> AI12+預測IC!AJ12</f>
        <v/>
      </c>
      <c r="AK12" s="11">
        <f> AJ12+預測IC!AK12</f>
        <v/>
      </c>
      <c r="AL12" s="11">
        <f> AK12+預測IC!AL12</f>
        <v/>
      </c>
      <c r="AM12" s="11">
        <f> AL12+預測IC!AM12</f>
        <v/>
      </c>
      <c r="AN12" s="11">
        <f> AM12+預測IC!AN12</f>
        <v/>
      </c>
      <c r="AO12" s="11">
        <f> AN12+預測IC!AO12</f>
        <v/>
      </c>
      <c r="AP12" s="11">
        <f> AO12+預測IC!AP12</f>
        <v/>
      </c>
      <c r="AQ12" s="11">
        <f> AP12+預測IC!AQ12</f>
        <v/>
      </c>
      <c r="AR12" s="11">
        <f> AQ12+預測IC!AR12</f>
        <v/>
      </c>
      <c r="AS12" s="11">
        <f> AR12+預測IC!AS12</f>
        <v/>
      </c>
      <c r="AT12" s="11">
        <f> AS12+預測IC!AT12</f>
        <v/>
      </c>
      <c r="AU12" s="11">
        <f> AT12+預測IC!AU12</f>
        <v/>
      </c>
      <c r="AV12" s="11">
        <f> AU12+預測IC!AV12</f>
        <v/>
      </c>
      <c r="AW12" s="11">
        <f> AV12+預測IC!AW12</f>
        <v/>
      </c>
      <c r="AX12" s="11">
        <f> AW12+預測IC!AX12</f>
        <v/>
      </c>
      <c r="AY12" s="11">
        <f> AX12+預測IC!AY12</f>
        <v/>
      </c>
      <c r="AZ12" s="11">
        <f> AY12+預測IC!AZ12</f>
        <v/>
      </c>
      <c r="BA12" s="11">
        <f> AZ12+預測IC!BA12</f>
        <v/>
      </c>
      <c r="BB12" s="11">
        <f> BA12+預測IC!BB12</f>
        <v/>
      </c>
      <c r="BC12" s="11">
        <f> BB12+預測IC!BC12</f>
        <v/>
      </c>
      <c r="BD12" s="11">
        <f> BC12+預測IC!BD12</f>
        <v/>
      </c>
      <c r="BE12" s="11">
        <f> BD12+預測IC!BE12</f>
        <v/>
      </c>
      <c r="BF12" s="11">
        <f> BE12+預測IC!BF12</f>
        <v/>
      </c>
      <c r="BG12" s="11">
        <f> BF12+預測IC!BG12</f>
        <v/>
      </c>
      <c r="BH12" s="11">
        <f> BG12+預測IC!BH12</f>
        <v/>
      </c>
      <c r="BI12" s="11">
        <f> BH12+預測IC!BI12</f>
        <v/>
      </c>
      <c r="BJ12" s="11">
        <f> BI12+預測IC!BJ12</f>
        <v/>
      </c>
      <c r="BK12" s="11">
        <f> BJ12+預測IC!BK12</f>
        <v/>
      </c>
      <c r="BL12" s="11">
        <f> BK12+預測IC!BL12</f>
        <v/>
      </c>
      <c r="BM12" s="11">
        <f> BL12+預測IC!BM12</f>
        <v/>
      </c>
      <c r="BN12" s="11">
        <f> BM12+預測IC!BN12</f>
        <v/>
      </c>
      <c r="BO12" s="11">
        <f> BN12+預測IC!BO12</f>
        <v/>
      </c>
      <c r="BP12" s="11">
        <f> BO12+預測IC!BP12</f>
        <v/>
      </c>
      <c r="BQ12" s="11">
        <f> BP12+預測IC!BQ12</f>
        <v/>
      </c>
      <c r="BR12" s="11">
        <f> BQ12+預測IC!BR12</f>
        <v/>
      </c>
      <c r="BS12" s="11">
        <f> BR12+預測IC!BS12</f>
        <v/>
      </c>
      <c r="BT12" s="11">
        <f> BS12+預測IC!BT12</f>
        <v/>
      </c>
      <c r="BU12" s="11">
        <f> BT12+預測IC!BU12</f>
        <v/>
      </c>
      <c r="BV12" s="11">
        <f> BU12+預測IC!BV12</f>
        <v/>
      </c>
      <c r="BW12" s="11">
        <f> BV12+預測IC!BW12</f>
        <v/>
      </c>
      <c r="BX12" s="11">
        <f> BW12+預測IC!BX12</f>
        <v/>
      </c>
      <c r="BY12" s="11">
        <f> BX12+預測IC!BY12</f>
        <v/>
      </c>
      <c r="BZ12" s="11">
        <f> BY12+預測IC!BZ12</f>
        <v/>
      </c>
      <c r="CA12" s="11">
        <f> BZ12+預測IC!CA12</f>
        <v/>
      </c>
      <c r="CB12" s="11">
        <f> CA12+預測IC!CB12</f>
        <v/>
      </c>
      <c r="CC12" s="11">
        <f> CB12+預測IC!CC12</f>
        <v/>
      </c>
      <c r="CD12" s="11">
        <f> CC12+預測IC!CD12</f>
        <v/>
      </c>
      <c r="CE12" s="11">
        <f> CD12+預測IC!CE12</f>
        <v/>
      </c>
      <c r="CF12" s="11">
        <f> CE12+預測IC!CF12</f>
        <v/>
      </c>
      <c r="CG12" s="11">
        <f> CF12+預測IC!CG12</f>
        <v/>
      </c>
      <c r="CH12" s="11">
        <f> CG12+預測IC!CH12</f>
        <v/>
      </c>
      <c r="CI12" s="11">
        <f> CH12+預測IC!CI12</f>
        <v/>
      </c>
      <c r="CJ12" s="11">
        <f> CI12+預測IC!CJ12</f>
        <v/>
      </c>
      <c r="CK12" s="11">
        <f> CJ12+預測IC!CK12</f>
        <v/>
      </c>
      <c r="CL12" s="11">
        <f> CK12+預測IC!CL12</f>
        <v/>
      </c>
      <c r="CM12" s="11">
        <f> CL12+預測IC!CM12</f>
        <v/>
      </c>
      <c r="CN12" s="11">
        <f> CM12+預測IC!CN12</f>
        <v/>
      </c>
      <c r="CO12" s="11">
        <f> CN12+預測IC!CO12</f>
        <v/>
      </c>
      <c r="CP12" s="11">
        <f> CO12+預測IC!CP12</f>
        <v/>
      </c>
      <c r="CQ12" s="11">
        <f> CP12+預測IC!CQ12</f>
        <v/>
      </c>
      <c r="CR12" s="11">
        <f> CQ12+預測IC!CR12</f>
        <v/>
      </c>
      <c r="CS12" s="11">
        <f> CR12+預測IC!CS12</f>
        <v/>
      </c>
      <c r="CT12" s="11">
        <f> CS12+預測IC!CT12</f>
        <v/>
      </c>
      <c r="CU12" s="11">
        <f> CT12+預測IC!CU12</f>
        <v/>
      </c>
      <c r="CV12" s="11">
        <f> CU12+預測IC!CV12</f>
        <v/>
      </c>
      <c r="CW12" s="11">
        <f> CV12+預測IC!CW12</f>
        <v/>
      </c>
      <c r="CX12" s="11">
        <f> CW12+預測IC!CX12</f>
        <v/>
      </c>
      <c r="CY12" s="11">
        <f> CX12+預測IC!CY12</f>
        <v/>
      </c>
      <c r="CZ12" s="11">
        <f> CY12+預測IC!CZ12</f>
        <v/>
      </c>
      <c r="DA12" s="11">
        <f> CZ12+預測IC!DA12</f>
        <v/>
      </c>
      <c r="DB12" s="11">
        <f> DA12+預測IC!DB12</f>
        <v/>
      </c>
      <c r="DC12" s="11">
        <f> DB12+預測IC!DC12</f>
        <v/>
      </c>
      <c r="DD12" s="11">
        <f> DC12+預測IC!DD12</f>
        <v/>
      </c>
      <c r="DE12" s="11">
        <f> DD12+預測IC!DE12</f>
        <v/>
      </c>
      <c r="DF12" s="11">
        <f> DE12+預測IC!DF12</f>
        <v/>
      </c>
      <c r="DG12" s="11">
        <f> DF12+預測IC!DG12</f>
        <v/>
      </c>
      <c r="DH12" s="11">
        <f> DG12+預測IC!DH12</f>
        <v/>
      </c>
      <c r="DI12" s="11">
        <f> DH12+預測IC!DI12</f>
        <v/>
      </c>
      <c r="DJ12" s="11">
        <f> DI12+預測IC!DJ12</f>
        <v/>
      </c>
      <c r="DK12" s="11">
        <f> DJ12+預測IC!DK12</f>
        <v/>
      </c>
      <c r="DL12" s="11">
        <f> DK12+預測IC!DL12</f>
        <v/>
      </c>
      <c r="DM12" s="11">
        <f> DL12+預測IC!DM12</f>
        <v/>
      </c>
      <c r="DN12" s="11">
        <f> DM12+預測IC!DN12</f>
        <v/>
      </c>
      <c r="DO12" s="11">
        <f> DN12+預測IC!DO12</f>
        <v/>
      </c>
      <c r="DP12" s="11">
        <f> DO12+預測IC!DP12</f>
        <v/>
      </c>
      <c r="DQ12" s="11">
        <f> DP12+預測IC!DQ12</f>
        <v/>
      </c>
      <c r="DR12" s="11">
        <f> DQ12+預測IC!DR12</f>
        <v/>
      </c>
      <c r="DS12" s="11">
        <f> DR12+預測IC!DS12</f>
        <v/>
      </c>
      <c r="DT12" s="11">
        <f> DS12+預測IC!DT12</f>
        <v/>
      </c>
      <c r="DU12" s="11">
        <f> DT12+預測IC!DU12</f>
        <v/>
      </c>
      <c r="DV12" s="11">
        <f> DU12+預測IC!DV12</f>
        <v/>
      </c>
      <c r="DW12" s="11">
        <f> DV12+預測IC!DW12</f>
        <v/>
      </c>
      <c r="DX12" s="11">
        <f> DW12+預測IC!DX12</f>
        <v/>
      </c>
      <c r="DY12" s="11">
        <f> DX12+預測IC!DY12</f>
        <v/>
      </c>
      <c r="DZ12" s="11">
        <f> DY12+預測IC!DZ12</f>
        <v/>
      </c>
      <c r="EA12" s="11">
        <f> DZ12+預測IC!EA12</f>
        <v/>
      </c>
      <c r="EB12" s="11">
        <f> EA12+預測IC!EB12</f>
        <v/>
      </c>
      <c r="EC12" s="11">
        <f> EB12+預測IC!EC12</f>
        <v/>
      </c>
      <c r="ED12" s="11">
        <f> EC12+預測IC!ED12</f>
        <v/>
      </c>
      <c r="EE12" s="11">
        <f> ED12+預測IC!EE12</f>
        <v/>
      </c>
      <c r="EF12" s="11">
        <f> EE12+預測IC!EF12</f>
        <v/>
      </c>
    </row>
    <row r="13" ht="16.2" customFormat="1" customHeight="1" s="8" thickBot="1">
      <c r="A13" s="50" t="n">
        <v>20</v>
      </c>
      <c r="B13" s="50" t="n">
        <v>48</v>
      </c>
      <c r="C13" s="11" t="n">
        <v>0.10411275</v>
      </c>
      <c r="D13" s="11">
        <f> C13+預測IC!D13</f>
        <v/>
      </c>
      <c r="E13" s="11">
        <f> D13+預測IC!E13</f>
        <v/>
      </c>
      <c r="F13" s="11">
        <f> E13+預測IC!F13</f>
        <v/>
      </c>
      <c r="G13" s="11">
        <f> F13+預測IC!G13</f>
        <v/>
      </c>
      <c r="H13" s="11">
        <f> G13+預測IC!H13</f>
        <v/>
      </c>
      <c r="I13" s="11">
        <f> H13+預測IC!I13</f>
        <v/>
      </c>
      <c r="J13" s="11">
        <f> I13+預測IC!J13</f>
        <v/>
      </c>
      <c r="K13" s="11">
        <f> J13+預測IC!K13</f>
        <v/>
      </c>
      <c r="L13" s="11">
        <f> K13+預測IC!L13</f>
        <v/>
      </c>
      <c r="M13" s="11">
        <f> L13+預測IC!M13</f>
        <v/>
      </c>
      <c r="N13" s="11">
        <f> M13+預測IC!N13</f>
        <v/>
      </c>
      <c r="O13" s="11">
        <f> N13+預測IC!O13</f>
        <v/>
      </c>
      <c r="P13" s="11">
        <f> O13+預測IC!P13</f>
        <v/>
      </c>
      <c r="Q13" s="11">
        <f> P13+預測IC!Q13</f>
        <v/>
      </c>
      <c r="R13" s="11">
        <f> Q13+預測IC!R13</f>
        <v/>
      </c>
      <c r="S13" s="11">
        <f> R13+預測IC!S13</f>
        <v/>
      </c>
      <c r="T13" s="11">
        <f> S13+預測IC!T13</f>
        <v/>
      </c>
      <c r="U13" s="11">
        <f> T13+預測IC!U13</f>
        <v/>
      </c>
      <c r="V13" s="11">
        <f> U13+預測IC!V13</f>
        <v/>
      </c>
      <c r="W13" s="11">
        <f> V13+預測IC!W13</f>
        <v/>
      </c>
      <c r="X13" s="11">
        <f> W13+預測IC!X13</f>
        <v/>
      </c>
      <c r="Y13" s="11">
        <f> X13+預測IC!Y13</f>
        <v/>
      </c>
      <c r="Z13" s="11">
        <f> Y13+預測IC!Z13</f>
        <v/>
      </c>
      <c r="AA13" s="11">
        <f> Z13+預測IC!AA13</f>
        <v/>
      </c>
      <c r="AB13" s="11">
        <f> AA13+預測IC!AB13</f>
        <v/>
      </c>
      <c r="AC13" s="11">
        <f> AB13+預測IC!AC13</f>
        <v/>
      </c>
      <c r="AD13" s="11">
        <f> AC13+預測IC!AD13</f>
        <v/>
      </c>
      <c r="AE13" s="11">
        <f> AD13+預測IC!AE13</f>
        <v/>
      </c>
      <c r="AF13" s="11">
        <f> AE13+預測IC!AF13</f>
        <v/>
      </c>
      <c r="AG13" s="11">
        <f> AF13+預測IC!AG13</f>
        <v/>
      </c>
      <c r="AH13" s="11">
        <f> AG13+預測IC!AH13</f>
        <v/>
      </c>
      <c r="AI13" s="11">
        <f> AH13+預測IC!AI13</f>
        <v/>
      </c>
      <c r="AJ13" s="11">
        <f> AI13+預測IC!AJ13</f>
        <v/>
      </c>
      <c r="AK13" s="11">
        <f> AJ13+預測IC!AK13</f>
        <v/>
      </c>
      <c r="AL13" s="11">
        <f> AK13+預測IC!AL13</f>
        <v/>
      </c>
      <c r="AM13" s="11">
        <f> AL13+預測IC!AM13</f>
        <v/>
      </c>
      <c r="AN13" s="11">
        <f> AM13+預測IC!AN13</f>
        <v/>
      </c>
      <c r="AO13" s="11">
        <f> AN13+預測IC!AO13</f>
        <v/>
      </c>
      <c r="AP13" s="11">
        <f> AO13+預測IC!AP13</f>
        <v/>
      </c>
      <c r="AQ13" s="11">
        <f> AP13+預測IC!AQ13</f>
        <v/>
      </c>
      <c r="AR13" s="11">
        <f> AQ13+預測IC!AR13</f>
        <v/>
      </c>
      <c r="AS13" s="11">
        <f> AR13+預測IC!AS13</f>
        <v/>
      </c>
      <c r="AT13" s="11">
        <f> AS13+預測IC!AT13</f>
        <v/>
      </c>
      <c r="AU13" s="11">
        <f> AT13+預測IC!AU13</f>
        <v/>
      </c>
      <c r="AV13" s="11">
        <f> AU13+預測IC!AV13</f>
        <v/>
      </c>
      <c r="AW13" s="11">
        <f> AV13+預測IC!AW13</f>
        <v/>
      </c>
      <c r="AX13" s="11">
        <f> AW13+預測IC!AX13</f>
        <v/>
      </c>
      <c r="AY13" s="11">
        <f> AX13+預測IC!AY13</f>
        <v/>
      </c>
      <c r="AZ13" s="11">
        <f> AY13+預測IC!AZ13</f>
        <v/>
      </c>
      <c r="BA13" s="11">
        <f> AZ13+預測IC!BA13</f>
        <v/>
      </c>
      <c r="BB13" s="11">
        <f> BA13+預測IC!BB13</f>
        <v/>
      </c>
      <c r="BC13" s="11">
        <f> BB13+預測IC!BC13</f>
        <v/>
      </c>
      <c r="BD13" s="11">
        <f> BC13+預測IC!BD13</f>
        <v/>
      </c>
      <c r="BE13" s="11">
        <f> BD13+預測IC!BE13</f>
        <v/>
      </c>
      <c r="BF13" s="11">
        <f> BE13+預測IC!BF13</f>
        <v/>
      </c>
      <c r="BG13" s="11">
        <f> BF13+預測IC!BG13</f>
        <v/>
      </c>
      <c r="BH13" s="11">
        <f> BG13+預測IC!BH13</f>
        <v/>
      </c>
      <c r="BI13" s="11">
        <f> BH13+預測IC!BI13</f>
        <v/>
      </c>
      <c r="BJ13" s="11">
        <f> BI13+預測IC!BJ13</f>
        <v/>
      </c>
      <c r="BK13" s="11">
        <f> BJ13+預測IC!BK13</f>
        <v/>
      </c>
      <c r="BL13" s="11">
        <f> BK13+預測IC!BL13</f>
        <v/>
      </c>
      <c r="BM13" s="11">
        <f> BL13+預測IC!BM13</f>
        <v/>
      </c>
      <c r="BN13" s="11">
        <f> BM13+預測IC!BN13</f>
        <v/>
      </c>
      <c r="BO13" s="11">
        <f> BN13+預測IC!BO13</f>
        <v/>
      </c>
      <c r="BP13" s="11">
        <f> BO13+預測IC!BP13</f>
        <v/>
      </c>
      <c r="BQ13" s="11">
        <f> BP13+預測IC!BQ13</f>
        <v/>
      </c>
      <c r="BR13" s="11">
        <f> BQ13+預測IC!BR13</f>
        <v/>
      </c>
      <c r="BS13" s="11">
        <f> BR13+預測IC!BS13</f>
        <v/>
      </c>
      <c r="BT13" s="11">
        <f> BS13+預測IC!BT13</f>
        <v/>
      </c>
      <c r="BU13" s="11">
        <f> BT13+預測IC!BU13</f>
        <v/>
      </c>
      <c r="BV13" s="11">
        <f> BU13+預測IC!BV13</f>
        <v/>
      </c>
      <c r="BW13" s="11">
        <f> BV13+預測IC!BW13</f>
        <v/>
      </c>
      <c r="BX13" s="11">
        <f> BW13+預測IC!BX13</f>
        <v/>
      </c>
      <c r="BY13" s="11">
        <f> BX13+預測IC!BY13</f>
        <v/>
      </c>
      <c r="BZ13" s="11">
        <f> BY13+預測IC!BZ13</f>
        <v/>
      </c>
      <c r="CA13" s="11">
        <f> BZ13+預測IC!CA13</f>
        <v/>
      </c>
      <c r="CB13" s="11">
        <f> CA13+預測IC!CB13</f>
        <v/>
      </c>
      <c r="CC13" s="11">
        <f> CB13+預測IC!CC13</f>
        <v/>
      </c>
      <c r="CD13" s="11">
        <f> CC13+預測IC!CD13</f>
        <v/>
      </c>
      <c r="CE13" s="11">
        <f> CD13+預測IC!CE13</f>
        <v/>
      </c>
      <c r="CF13" s="11">
        <f> CE13+預測IC!CF13</f>
        <v/>
      </c>
      <c r="CG13" s="11">
        <f> CF13+預測IC!CG13</f>
        <v/>
      </c>
      <c r="CH13" s="11">
        <f> CG13+預測IC!CH13</f>
        <v/>
      </c>
      <c r="CI13" s="11">
        <f> CH13+預測IC!CI13</f>
        <v/>
      </c>
      <c r="CJ13" s="11">
        <f> CI13+預測IC!CJ13</f>
        <v/>
      </c>
      <c r="CK13" s="11">
        <f> CJ13+預測IC!CK13</f>
        <v/>
      </c>
      <c r="CL13" s="11">
        <f> CK13+預測IC!CL13</f>
        <v/>
      </c>
      <c r="CM13" s="11">
        <f> CL13+預測IC!CM13</f>
        <v/>
      </c>
      <c r="CN13" s="11">
        <f> CM13+預測IC!CN13</f>
        <v/>
      </c>
      <c r="CO13" s="11">
        <f> CN13+預測IC!CO13</f>
        <v/>
      </c>
      <c r="CP13" s="11">
        <f> CO13+預測IC!CP13</f>
        <v/>
      </c>
      <c r="CQ13" s="11">
        <f> CP13+預測IC!CQ13</f>
        <v/>
      </c>
      <c r="CR13" s="11">
        <f> CQ13+預測IC!CR13</f>
        <v/>
      </c>
      <c r="CS13" s="11">
        <f> CR13+預測IC!CS13</f>
        <v/>
      </c>
      <c r="CT13" s="11">
        <f> CS13+預測IC!CT13</f>
        <v/>
      </c>
      <c r="CU13" s="11">
        <f> CT13+預測IC!CU13</f>
        <v/>
      </c>
      <c r="CV13" s="11">
        <f> CU13+預測IC!CV13</f>
        <v/>
      </c>
      <c r="CW13" s="11">
        <f> CV13+預測IC!CW13</f>
        <v/>
      </c>
      <c r="CX13" s="11">
        <f> CW13+預測IC!CX13</f>
        <v/>
      </c>
      <c r="CY13" s="11">
        <f> CX13+預測IC!CY13</f>
        <v/>
      </c>
      <c r="CZ13" s="11">
        <f> CY13+預測IC!CZ13</f>
        <v/>
      </c>
      <c r="DA13" s="11">
        <f> CZ13+預測IC!DA13</f>
        <v/>
      </c>
      <c r="DB13" s="11">
        <f> DA13+預測IC!DB13</f>
        <v/>
      </c>
      <c r="DC13" s="11">
        <f> DB13+預測IC!DC13</f>
        <v/>
      </c>
      <c r="DD13" s="11">
        <f> DC13+預測IC!DD13</f>
        <v/>
      </c>
      <c r="DE13" s="11">
        <f> DD13+預測IC!DE13</f>
        <v/>
      </c>
      <c r="DF13" s="11">
        <f> DE13+預測IC!DF13</f>
        <v/>
      </c>
      <c r="DG13" s="11">
        <f> DF13+預測IC!DG13</f>
        <v/>
      </c>
      <c r="DH13" s="11">
        <f> DG13+預測IC!DH13</f>
        <v/>
      </c>
      <c r="DI13" s="11">
        <f> DH13+預測IC!DI13</f>
        <v/>
      </c>
      <c r="DJ13" s="11">
        <f> DI13+預測IC!DJ13</f>
        <v/>
      </c>
      <c r="DK13" s="11">
        <f> DJ13+預測IC!DK13</f>
        <v/>
      </c>
      <c r="DL13" s="11">
        <f> DK13+預測IC!DL13</f>
        <v/>
      </c>
      <c r="DM13" s="11">
        <f> DL13+預測IC!DM13</f>
        <v/>
      </c>
      <c r="DN13" s="11">
        <f> DM13+預測IC!DN13</f>
        <v/>
      </c>
      <c r="DO13" s="11">
        <f> DN13+預測IC!DO13</f>
        <v/>
      </c>
      <c r="DP13" s="11">
        <f> DO13+預測IC!DP13</f>
        <v/>
      </c>
      <c r="DQ13" s="11">
        <f> DP13+預測IC!DQ13</f>
        <v/>
      </c>
      <c r="DR13" s="11">
        <f> DQ13+預測IC!DR13</f>
        <v/>
      </c>
      <c r="DS13" s="11">
        <f> DR13+預測IC!DS13</f>
        <v/>
      </c>
      <c r="DT13" s="11">
        <f> DS13+預測IC!DT13</f>
        <v/>
      </c>
      <c r="DU13" s="11">
        <f> DT13+預測IC!DU13</f>
        <v/>
      </c>
      <c r="DV13" s="11">
        <f> DU13+預測IC!DV13</f>
        <v/>
      </c>
      <c r="DW13" s="11">
        <f> DV13+預測IC!DW13</f>
        <v/>
      </c>
      <c r="DX13" s="11">
        <f> DW13+預測IC!DX13</f>
        <v/>
      </c>
      <c r="DY13" s="11">
        <f> DX13+預測IC!DY13</f>
        <v/>
      </c>
      <c r="DZ13" s="11">
        <f> DY13+預測IC!DZ13</f>
        <v/>
      </c>
      <c r="EA13" s="11">
        <f> DZ13+預測IC!EA13</f>
        <v/>
      </c>
      <c r="EB13" s="11">
        <f> EA13+預測IC!EB13</f>
        <v/>
      </c>
      <c r="EC13" s="11">
        <f> EB13+預測IC!EC13</f>
        <v/>
      </c>
      <c r="ED13" s="11">
        <f> EC13+預測IC!ED13</f>
        <v/>
      </c>
      <c r="EE13" s="11">
        <f> ED13+預測IC!EE13</f>
        <v/>
      </c>
      <c r="EF13" s="11">
        <f> EE13+預測IC!EF13</f>
        <v/>
      </c>
    </row>
    <row r="14" ht="16.2" customFormat="1" customHeight="1" s="8" thickBot="1">
      <c r="A14" s="50" t="n">
        <v>50</v>
      </c>
      <c r="B14" s="50" t="n">
        <v>19</v>
      </c>
      <c r="C14" s="11" t="n">
        <v>0.11994149</v>
      </c>
      <c r="D14" s="11">
        <f> C14+預測IC!D14</f>
        <v/>
      </c>
      <c r="E14" s="11">
        <f> D14+預測IC!E14</f>
        <v/>
      </c>
      <c r="F14" s="11">
        <f> E14+預測IC!F14</f>
        <v/>
      </c>
      <c r="G14" s="11">
        <f> F14+預測IC!G14</f>
        <v/>
      </c>
      <c r="H14" s="11">
        <f> G14+預測IC!H14</f>
        <v/>
      </c>
      <c r="I14" s="11">
        <f> H14+預測IC!I14</f>
        <v/>
      </c>
      <c r="J14" s="11">
        <f> I14+預測IC!J14</f>
        <v/>
      </c>
      <c r="K14" s="11">
        <f> J14+預測IC!K14</f>
        <v/>
      </c>
      <c r="L14" s="11">
        <f> K14+預測IC!L14</f>
        <v/>
      </c>
      <c r="M14" s="11">
        <f> L14+預測IC!M14</f>
        <v/>
      </c>
      <c r="N14" s="11">
        <f> M14+預測IC!N14</f>
        <v/>
      </c>
      <c r="O14" s="11">
        <f> N14+預測IC!O14</f>
        <v/>
      </c>
      <c r="P14" s="11">
        <f> O14+預測IC!P14</f>
        <v/>
      </c>
      <c r="Q14" s="11">
        <f> P14+預測IC!Q14</f>
        <v/>
      </c>
      <c r="R14" s="11">
        <f> Q14+預測IC!R14</f>
        <v/>
      </c>
      <c r="S14" s="11">
        <f> R14+預測IC!S14</f>
        <v/>
      </c>
      <c r="T14" s="11">
        <f> S14+預測IC!T14</f>
        <v/>
      </c>
      <c r="U14" s="11">
        <f> T14+預測IC!U14</f>
        <v/>
      </c>
      <c r="V14" s="11">
        <f> U14+預測IC!V14</f>
        <v/>
      </c>
      <c r="W14" s="11">
        <f> V14+預測IC!W14</f>
        <v/>
      </c>
      <c r="X14" s="11">
        <f> W14+預測IC!X14</f>
        <v/>
      </c>
      <c r="Y14" s="11">
        <f> X14+預測IC!Y14</f>
        <v/>
      </c>
      <c r="Z14" s="11">
        <f> Y14+預測IC!Z14</f>
        <v/>
      </c>
      <c r="AA14" s="11">
        <f> Z14+預測IC!AA14</f>
        <v/>
      </c>
      <c r="AB14" s="11">
        <f> AA14+預測IC!AB14</f>
        <v/>
      </c>
      <c r="AC14" s="11">
        <f> AB14+預測IC!AC14</f>
        <v/>
      </c>
      <c r="AD14" s="11">
        <f> AC14+預測IC!AD14</f>
        <v/>
      </c>
      <c r="AE14" s="11">
        <f> AD14+預測IC!AE14</f>
        <v/>
      </c>
      <c r="AF14" s="11">
        <f> AE14+預測IC!AF14</f>
        <v/>
      </c>
      <c r="AG14" s="11">
        <f> AF14+預測IC!AG14</f>
        <v/>
      </c>
      <c r="AH14" s="11">
        <f> AG14+預測IC!AH14</f>
        <v/>
      </c>
      <c r="AI14" s="11">
        <f> AH14+預測IC!AI14</f>
        <v/>
      </c>
      <c r="AJ14" s="11">
        <f> AI14+預測IC!AJ14</f>
        <v/>
      </c>
      <c r="AK14" s="11">
        <f> AJ14+預測IC!AK14</f>
        <v/>
      </c>
      <c r="AL14" s="11">
        <f> AK14+預測IC!AL14</f>
        <v/>
      </c>
      <c r="AM14" s="11">
        <f> AL14+預測IC!AM14</f>
        <v/>
      </c>
      <c r="AN14" s="11">
        <f> AM14+預測IC!AN14</f>
        <v/>
      </c>
      <c r="AO14" s="11">
        <f> AN14+預測IC!AO14</f>
        <v/>
      </c>
      <c r="AP14" s="11">
        <f> AO14+預測IC!AP14</f>
        <v/>
      </c>
      <c r="AQ14" s="11">
        <f> AP14+預測IC!AQ14</f>
        <v/>
      </c>
      <c r="AR14" s="11">
        <f> AQ14+預測IC!AR14</f>
        <v/>
      </c>
      <c r="AS14" s="11">
        <f> AR14+預測IC!AS14</f>
        <v/>
      </c>
      <c r="AT14" s="11">
        <f> AS14+預測IC!AT14</f>
        <v/>
      </c>
      <c r="AU14" s="11">
        <f> AT14+預測IC!AU14</f>
        <v/>
      </c>
      <c r="AV14" s="11">
        <f> AU14+預測IC!AV14</f>
        <v/>
      </c>
      <c r="AW14" s="11">
        <f> AV14+預測IC!AW14</f>
        <v/>
      </c>
      <c r="AX14" s="11">
        <f> AW14+預測IC!AX14</f>
        <v/>
      </c>
      <c r="AY14" s="11">
        <f> AX14+預測IC!AY14</f>
        <v/>
      </c>
      <c r="AZ14" s="11">
        <f> AY14+預測IC!AZ14</f>
        <v/>
      </c>
      <c r="BA14" s="11">
        <f> AZ14+預測IC!BA14</f>
        <v/>
      </c>
      <c r="BB14" s="11">
        <f> BA14+預測IC!BB14</f>
        <v/>
      </c>
      <c r="BC14" s="11">
        <f> BB14+預測IC!BC14</f>
        <v/>
      </c>
      <c r="BD14" s="11">
        <f> BC14+預測IC!BD14</f>
        <v/>
      </c>
      <c r="BE14" s="11">
        <f> BD14+預測IC!BE14</f>
        <v/>
      </c>
      <c r="BF14" s="11">
        <f> BE14+預測IC!BF14</f>
        <v/>
      </c>
      <c r="BG14" s="11">
        <f> BF14+預測IC!BG14</f>
        <v/>
      </c>
      <c r="BH14" s="11">
        <f> BG14+預測IC!BH14</f>
        <v/>
      </c>
      <c r="BI14" s="11">
        <f> BH14+預測IC!BI14</f>
        <v/>
      </c>
      <c r="BJ14" s="11">
        <f> BI14+預測IC!BJ14</f>
        <v/>
      </c>
      <c r="BK14" s="11">
        <f> BJ14+預測IC!BK14</f>
        <v/>
      </c>
      <c r="BL14" s="11">
        <f> BK14+預測IC!BL14</f>
        <v/>
      </c>
      <c r="BM14" s="11">
        <f> BL14+預測IC!BM14</f>
        <v/>
      </c>
      <c r="BN14" s="11">
        <f> BM14+預測IC!BN14</f>
        <v/>
      </c>
      <c r="BO14" s="11">
        <f> BN14+預測IC!BO14</f>
        <v/>
      </c>
      <c r="BP14" s="11">
        <f> BO14+預測IC!BP14</f>
        <v/>
      </c>
      <c r="BQ14" s="11">
        <f> BP14+預測IC!BQ14</f>
        <v/>
      </c>
      <c r="BR14" s="11">
        <f> BQ14+預測IC!BR14</f>
        <v/>
      </c>
      <c r="BS14" s="11">
        <f> BR14+預測IC!BS14</f>
        <v/>
      </c>
      <c r="BT14" s="11">
        <f> BS14+預測IC!BT14</f>
        <v/>
      </c>
      <c r="BU14" s="11">
        <f> BT14+預測IC!BU14</f>
        <v/>
      </c>
      <c r="BV14" s="11">
        <f> BU14+預測IC!BV14</f>
        <v/>
      </c>
      <c r="BW14" s="11">
        <f> BV14+預測IC!BW14</f>
        <v/>
      </c>
      <c r="BX14" s="11">
        <f> BW14+預測IC!BX14</f>
        <v/>
      </c>
      <c r="BY14" s="11">
        <f> BX14+預測IC!BY14</f>
        <v/>
      </c>
      <c r="BZ14" s="11">
        <f> BY14+預測IC!BZ14</f>
        <v/>
      </c>
      <c r="CA14" s="11">
        <f> BZ14+預測IC!CA14</f>
        <v/>
      </c>
      <c r="CB14" s="11">
        <f> CA14+預測IC!CB14</f>
        <v/>
      </c>
      <c r="CC14" s="11">
        <f> CB14+預測IC!CC14</f>
        <v/>
      </c>
      <c r="CD14" s="11">
        <f> CC14+預測IC!CD14</f>
        <v/>
      </c>
      <c r="CE14" s="11">
        <f> CD14+預測IC!CE14</f>
        <v/>
      </c>
      <c r="CF14" s="11">
        <f> CE14+預測IC!CF14</f>
        <v/>
      </c>
      <c r="CG14" s="11">
        <f> CF14+預測IC!CG14</f>
        <v/>
      </c>
      <c r="CH14" s="11">
        <f> CG14+預測IC!CH14</f>
        <v/>
      </c>
      <c r="CI14" s="11">
        <f> CH14+預測IC!CI14</f>
        <v/>
      </c>
      <c r="CJ14" s="11">
        <f> CI14+預測IC!CJ14</f>
        <v/>
      </c>
      <c r="CK14" s="11">
        <f> CJ14+預測IC!CK14</f>
        <v/>
      </c>
      <c r="CL14" s="11">
        <f> CK14+預測IC!CL14</f>
        <v/>
      </c>
      <c r="CM14" s="11">
        <f> CL14+預測IC!CM14</f>
        <v/>
      </c>
      <c r="CN14" s="11">
        <f> CM14+預測IC!CN14</f>
        <v/>
      </c>
      <c r="CO14" s="11">
        <f> CN14+預測IC!CO14</f>
        <v/>
      </c>
      <c r="CP14" s="11">
        <f> CO14+預測IC!CP14</f>
        <v/>
      </c>
      <c r="CQ14" s="11">
        <f> CP14+預測IC!CQ14</f>
        <v/>
      </c>
      <c r="CR14" s="11">
        <f> CQ14+預測IC!CR14</f>
        <v/>
      </c>
      <c r="CS14" s="11">
        <f> CR14+預測IC!CS14</f>
        <v/>
      </c>
      <c r="CT14" s="11">
        <f> CS14+預測IC!CT14</f>
        <v/>
      </c>
      <c r="CU14" s="11">
        <f> CT14+預測IC!CU14</f>
        <v/>
      </c>
      <c r="CV14" s="11">
        <f> CU14+預測IC!CV14</f>
        <v/>
      </c>
      <c r="CW14" s="11">
        <f> CV14+預測IC!CW14</f>
        <v/>
      </c>
      <c r="CX14" s="11">
        <f> CW14+預測IC!CX14</f>
        <v/>
      </c>
      <c r="CY14" s="11">
        <f> CX14+預測IC!CY14</f>
        <v/>
      </c>
      <c r="CZ14" s="11">
        <f> CY14+預測IC!CZ14</f>
        <v/>
      </c>
      <c r="DA14" s="11">
        <f> CZ14+預測IC!DA14</f>
        <v/>
      </c>
      <c r="DB14" s="11">
        <f> DA14+預測IC!DB14</f>
        <v/>
      </c>
      <c r="DC14" s="11">
        <f> DB14+預測IC!DC14</f>
        <v/>
      </c>
      <c r="DD14" s="11">
        <f> DC14+預測IC!DD14</f>
        <v/>
      </c>
      <c r="DE14" s="11">
        <f> DD14+預測IC!DE14</f>
        <v/>
      </c>
      <c r="DF14" s="11">
        <f> DE14+預測IC!DF14</f>
        <v/>
      </c>
      <c r="DG14" s="11">
        <f> DF14+預測IC!DG14</f>
        <v/>
      </c>
      <c r="DH14" s="11">
        <f> DG14+預測IC!DH14</f>
        <v/>
      </c>
      <c r="DI14" s="11">
        <f> DH14+預測IC!DI14</f>
        <v/>
      </c>
      <c r="DJ14" s="11">
        <f> DI14+預測IC!DJ14</f>
        <v/>
      </c>
      <c r="DK14" s="11">
        <f> DJ14+預測IC!DK14</f>
        <v/>
      </c>
      <c r="DL14" s="11">
        <f> DK14+預測IC!DL14</f>
        <v/>
      </c>
      <c r="DM14" s="11">
        <f> DL14+預測IC!DM14</f>
        <v/>
      </c>
      <c r="DN14" s="11">
        <f> DM14+預測IC!DN14</f>
        <v/>
      </c>
      <c r="DO14" s="11">
        <f> DN14+預測IC!DO14</f>
        <v/>
      </c>
      <c r="DP14" s="11">
        <f> DO14+預測IC!DP14</f>
        <v/>
      </c>
      <c r="DQ14" s="11">
        <f> DP14+預測IC!DQ14</f>
        <v/>
      </c>
      <c r="DR14" s="11">
        <f> DQ14+預測IC!DR14</f>
        <v/>
      </c>
      <c r="DS14" s="11">
        <f> DR14+預測IC!DS14</f>
        <v/>
      </c>
      <c r="DT14" s="11">
        <f> DS14+預測IC!DT14</f>
        <v/>
      </c>
      <c r="DU14" s="11">
        <f> DT14+預測IC!DU14</f>
        <v/>
      </c>
      <c r="DV14" s="11">
        <f> DU14+預測IC!DV14</f>
        <v/>
      </c>
      <c r="DW14" s="11">
        <f> DV14+預測IC!DW14</f>
        <v/>
      </c>
      <c r="DX14" s="11">
        <f> DW14+預測IC!DX14</f>
        <v/>
      </c>
      <c r="DY14" s="11">
        <f> DX14+預測IC!DY14</f>
        <v/>
      </c>
      <c r="DZ14" s="11">
        <f> DY14+預測IC!DZ14</f>
        <v/>
      </c>
      <c r="EA14" s="11">
        <f> DZ14+預測IC!EA14</f>
        <v/>
      </c>
      <c r="EB14" s="11">
        <f> EA14+預測IC!EB14</f>
        <v/>
      </c>
      <c r="EC14" s="11">
        <f> EB14+預測IC!EC14</f>
        <v/>
      </c>
      <c r="ED14" s="11">
        <f> EC14+預測IC!ED14</f>
        <v/>
      </c>
      <c r="EE14" s="11">
        <f> ED14+預測IC!EE14</f>
        <v/>
      </c>
      <c r="EF14" s="11">
        <f> EE14+預測IC!EF14</f>
        <v/>
      </c>
    </row>
    <row r="15" ht="16.2" customFormat="1" customHeight="1" s="8" thickBot="1">
      <c r="A15" s="50" t="n">
        <v>100</v>
      </c>
      <c r="B15" s="50" t="n">
        <v>10</v>
      </c>
      <c r="C15" s="11" t="n">
        <v>0.22764466</v>
      </c>
      <c r="D15" s="11">
        <f> C15+預測IC!D15</f>
        <v/>
      </c>
      <c r="E15" s="11">
        <f> D15+預測IC!E15</f>
        <v/>
      </c>
      <c r="F15" s="11">
        <f> E15+預測IC!F15</f>
        <v/>
      </c>
      <c r="G15" s="11">
        <f> F15+預測IC!G15</f>
        <v/>
      </c>
      <c r="H15" s="11">
        <f> G15+預測IC!H15</f>
        <v/>
      </c>
      <c r="I15" s="11">
        <f> H15+預測IC!I15</f>
        <v/>
      </c>
      <c r="J15" s="11">
        <f> I15+預測IC!J15</f>
        <v/>
      </c>
      <c r="K15" s="11">
        <f> J15+預測IC!K15</f>
        <v/>
      </c>
      <c r="L15" s="11">
        <f> K15+預測IC!L15</f>
        <v/>
      </c>
      <c r="M15" s="11">
        <f> L15+預測IC!M15</f>
        <v/>
      </c>
      <c r="N15" s="11">
        <f> M15+預測IC!N15</f>
        <v/>
      </c>
      <c r="O15" s="11">
        <f> N15+預測IC!O15</f>
        <v/>
      </c>
      <c r="P15" s="11">
        <f> O15+預測IC!P15</f>
        <v/>
      </c>
      <c r="Q15" s="11">
        <f> P15+預測IC!Q15</f>
        <v/>
      </c>
      <c r="R15" s="11">
        <f> Q15+預測IC!R15</f>
        <v/>
      </c>
      <c r="S15" s="11">
        <f> R15+預測IC!S15</f>
        <v/>
      </c>
      <c r="T15" s="11">
        <f> S15+預測IC!T15</f>
        <v/>
      </c>
      <c r="U15" s="11">
        <f> T15+預測IC!U15</f>
        <v/>
      </c>
      <c r="V15" s="11">
        <f> U15+預測IC!V15</f>
        <v/>
      </c>
      <c r="W15" s="11">
        <f> V15+預測IC!W15</f>
        <v/>
      </c>
      <c r="X15" s="11">
        <f> W15+預測IC!X15</f>
        <v/>
      </c>
      <c r="Y15" s="11">
        <f> X15+預測IC!Y15</f>
        <v/>
      </c>
      <c r="Z15" s="11">
        <f> Y15+預測IC!Z15</f>
        <v/>
      </c>
      <c r="AA15" s="11">
        <f> Z15+預測IC!AA15</f>
        <v/>
      </c>
      <c r="AB15" s="11">
        <f> AA15+預測IC!AB15</f>
        <v/>
      </c>
      <c r="AC15" s="11">
        <f> AB15+預測IC!AC15</f>
        <v/>
      </c>
      <c r="AD15" s="11">
        <f> AC15+預測IC!AD15</f>
        <v/>
      </c>
      <c r="AE15" s="11">
        <f> AD15+預測IC!AE15</f>
        <v/>
      </c>
      <c r="AF15" s="11">
        <f> AE15+預測IC!AF15</f>
        <v/>
      </c>
      <c r="AG15" s="11">
        <f> AF15+預測IC!AG15</f>
        <v/>
      </c>
      <c r="AH15" s="11">
        <f> AG15+預測IC!AH15</f>
        <v/>
      </c>
      <c r="AI15" s="11">
        <f> AH15+預測IC!AI15</f>
        <v/>
      </c>
      <c r="AJ15" s="11">
        <f> AI15+預測IC!AJ15</f>
        <v/>
      </c>
      <c r="AK15" s="11">
        <f> AJ15+預測IC!AK15</f>
        <v/>
      </c>
      <c r="AL15" s="11">
        <f> AK15+預測IC!AL15</f>
        <v/>
      </c>
      <c r="AM15" s="11">
        <f> AL15+預測IC!AM15</f>
        <v/>
      </c>
      <c r="AN15" s="11">
        <f> AM15+預測IC!AN15</f>
        <v/>
      </c>
      <c r="AO15" s="11">
        <f> AN15+預測IC!AO15</f>
        <v/>
      </c>
      <c r="AP15" s="11">
        <f> AO15+預測IC!AP15</f>
        <v/>
      </c>
      <c r="AQ15" s="11">
        <f> AP15+預測IC!AQ15</f>
        <v/>
      </c>
      <c r="AR15" s="11">
        <f> AQ15+預測IC!AR15</f>
        <v/>
      </c>
      <c r="AS15" s="11">
        <f> AR15+預測IC!AS15</f>
        <v/>
      </c>
      <c r="AT15" s="11">
        <f> AS15+預測IC!AT15</f>
        <v/>
      </c>
      <c r="AU15" s="11">
        <f> AT15+預測IC!AU15</f>
        <v/>
      </c>
      <c r="AV15" s="11">
        <f> AU15+預測IC!AV15</f>
        <v/>
      </c>
      <c r="AW15" s="11">
        <f> AV15+預測IC!AW15</f>
        <v/>
      </c>
      <c r="AX15" s="11">
        <f> AW15+預測IC!AX15</f>
        <v/>
      </c>
      <c r="AY15" s="11">
        <f> AX15+預測IC!AY15</f>
        <v/>
      </c>
      <c r="AZ15" s="11">
        <f> AY15+預測IC!AZ15</f>
        <v/>
      </c>
      <c r="BA15" s="11">
        <f> AZ15+預測IC!BA15</f>
        <v/>
      </c>
      <c r="BB15" s="11">
        <f> BA15+預測IC!BB15</f>
        <v/>
      </c>
      <c r="BC15" s="11">
        <f> BB15+預測IC!BC15</f>
        <v/>
      </c>
      <c r="BD15" s="11">
        <f> BC15+預測IC!BD15</f>
        <v/>
      </c>
      <c r="BE15" s="11">
        <f> BD15+預測IC!BE15</f>
        <v/>
      </c>
      <c r="BF15" s="11">
        <f> BE15+預測IC!BF15</f>
        <v/>
      </c>
      <c r="BG15" s="11">
        <f> BF15+預測IC!BG15</f>
        <v/>
      </c>
      <c r="BH15" s="11">
        <f> BG15+預測IC!BH15</f>
        <v/>
      </c>
      <c r="BI15" s="11">
        <f> BH15+預測IC!BI15</f>
        <v/>
      </c>
      <c r="BJ15" s="11">
        <f> BI15+預測IC!BJ15</f>
        <v/>
      </c>
      <c r="BK15" s="11">
        <f> BJ15+預測IC!BK15</f>
        <v/>
      </c>
      <c r="BL15" s="11">
        <f> BK15+預測IC!BL15</f>
        <v/>
      </c>
      <c r="BM15" s="11">
        <f> BL15+預測IC!BM15</f>
        <v/>
      </c>
      <c r="BN15" s="11">
        <f> BM15+預測IC!BN15</f>
        <v/>
      </c>
      <c r="BO15" s="11">
        <f> BN15+預測IC!BO15</f>
        <v/>
      </c>
      <c r="BP15" s="11">
        <f> BO15+預測IC!BP15</f>
        <v/>
      </c>
      <c r="BQ15" s="11">
        <f> BP15+預測IC!BQ15</f>
        <v/>
      </c>
      <c r="BR15" s="11">
        <f> BQ15+預測IC!BR15</f>
        <v/>
      </c>
      <c r="BS15" s="11">
        <f> BR15+預測IC!BS15</f>
        <v/>
      </c>
      <c r="BT15" s="11">
        <f> BS15+預測IC!BT15</f>
        <v/>
      </c>
      <c r="BU15" s="11">
        <f> BT15+預測IC!BU15</f>
        <v/>
      </c>
      <c r="BV15" s="11">
        <f> BU15+預測IC!BV15</f>
        <v/>
      </c>
      <c r="BW15" s="11">
        <f> BV15+預測IC!BW15</f>
        <v/>
      </c>
      <c r="BX15" s="11">
        <f> BW15+預測IC!BX15</f>
        <v/>
      </c>
      <c r="BY15" s="11">
        <f> BX15+預測IC!BY15</f>
        <v/>
      </c>
      <c r="BZ15" s="11">
        <f> BY15+預測IC!BZ15</f>
        <v/>
      </c>
      <c r="CA15" s="11">
        <f> BZ15+預測IC!CA15</f>
        <v/>
      </c>
      <c r="CB15" s="11">
        <f> CA15+預測IC!CB15</f>
        <v/>
      </c>
      <c r="CC15" s="11">
        <f> CB15+預測IC!CC15</f>
        <v/>
      </c>
      <c r="CD15" s="11">
        <f> CC15+預測IC!CD15</f>
        <v/>
      </c>
      <c r="CE15" s="11">
        <f> CD15+預測IC!CE15</f>
        <v/>
      </c>
      <c r="CF15" s="11">
        <f> CE15+預測IC!CF15</f>
        <v/>
      </c>
      <c r="CG15" s="11">
        <f> CF15+預測IC!CG15</f>
        <v/>
      </c>
      <c r="CH15" s="11">
        <f> CG15+預測IC!CH15</f>
        <v/>
      </c>
      <c r="CI15" s="11">
        <f> CH15+預測IC!CI15</f>
        <v/>
      </c>
      <c r="CJ15" s="11">
        <f> CI15+預測IC!CJ15</f>
        <v/>
      </c>
      <c r="CK15" s="11">
        <f> CJ15+預測IC!CK15</f>
        <v/>
      </c>
      <c r="CL15" s="11">
        <f> CK15+預測IC!CL15</f>
        <v/>
      </c>
      <c r="CM15" s="11">
        <f> CL15+預測IC!CM15</f>
        <v/>
      </c>
      <c r="CN15" s="11">
        <f> CM15+預測IC!CN15</f>
        <v/>
      </c>
      <c r="CO15" s="11">
        <f> CN15+預測IC!CO15</f>
        <v/>
      </c>
      <c r="CP15" s="11">
        <f> CO15+預測IC!CP15</f>
        <v/>
      </c>
      <c r="CQ15" s="11">
        <f> CP15+預測IC!CQ15</f>
        <v/>
      </c>
      <c r="CR15" s="11">
        <f> CQ15+預測IC!CR15</f>
        <v/>
      </c>
      <c r="CS15" s="11">
        <f> CR15+預測IC!CS15</f>
        <v/>
      </c>
      <c r="CT15" s="11">
        <f> CS15+預測IC!CT15</f>
        <v/>
      </c>
      <c r="CU15" s="11">
        <f> CT15+預測IC!CU15</f>
        <v/>
      </c>
      <c r="CV15" s="11">
        <f> CU15+預測IC!CV15</f>
        <v/>
      </c>
      <c r="CW15" s="11">
        <f> CV15+預測IC!CW15</f>
        <v/>
      </c>
      <c r="CX15" s="11">
        <f> CW15+預測IC!CX15</f>
        <v/>
      </c>
      <c r="CY15" s="11">
        <f> CX15+預測IC!CY15</f>
        <v/>
      </c>
      <c r="CZ15" s="11">
        <f> CY15+預測IC!CZ15</f>
        <v/>
      </c>
      <c r="DA15" s="11">
        <f> CZ15+預測IC!DA15</f>
        <v/>
      </c>
      <c r="DB15" s="11">
        <f> DA15+預測IC!DB15</f>
        <v/>
      </c>
      <c r="DC15" s="11">
        <f> DB15+預測IC!DC15</f>
        <v/>
      </c>
      <c r="DD15" s="11">
        <f> DC15+預測IC!DD15</f>
        <v/>
      </c>
      <c r="DE15" s="11">
        <f> DD15+預測IC!DE15</f>
        <v/>
      </c>
      <c r="DF15" s="11">
        <f> DE15+預測IC!DF15</f>
        <v/>
      </c>
      <c r="DG15" s="11">
        <f> DF15+預測IC!DG15</f>
        <v/>
      </c>
      <c r="DH15" s="11">
        <f> DG15+預測IC!DH15</f>
        <v/>
      </c>
      <c r="DI15" s="11">
        <f> DH15+預測IC!DI15</f>
        <v/>
      </c>
      <c r="DJ15" s="11">
        <f> DI15+預測IC!DJ15</f>
        <v/>
      </c>
      <c r="DK15" s="11">
        <f> DJ15+預測IC!DK15</f>
        <v/>
      </c>
      <c r="DL15" s="11">
        <f> DK15+預測IC!DL15</f>
        <v/>
      </c>
      <c r="DM15" s="11">
        <f> DL15+預測IC!DM15</f>
        <v/>
      </c>
      <c r="DN15" s="11">
        <f> DM15+預測IC!DN15</f>
        <v/>
      </c>
      <c r="DO15" s="11">
        <f> DN15+預測IC!DO15</f>
        <v/>
      </c>
      <c r="DP15" s="11">
        <f> DO15+預測IC!DP15</f>
        <v/>
      </c>
      <c r="DQ15" s="11">
        <f> DP15+預測IC!DQ15</f>
        <v/>
      </c>
      <c r="DR15" s="11">
        <f> DQ15+預測IC!DR15</f>
        <v/>
      </c>
      <c r="DS15" s="11">
        <f> DR15+預測IC!DS15</f>
        <v/>
      </c>
      <c r="DT15" s="11">
        <f> DS15+預測IC!DT15</f>
        <v/>
      </c>
      <c r="DU15" s="11">
        <f> DT15+預測IC!DU15</f>
        <v/>
      </c>
      <c r="DV15" s="11">
        <f> DU15+預測IC!DV15</f>
        <v/>
      </c>
      <c r="DW15" s="11">
        <f> DV15+預測IC!DW15</f>
        <v/>
      </c>
      <c r="DX15" s="11">
        <f> DW15+預測IC!DX15</f>
        <v/>
      </c>
      <c r="DY15" s="11">
        <f> DX15+預測IC!DY15</f>
        <v/>
      </c>
      <c r="DZ15" s="11">
        <f> DY15+預測IC!DZ15</f>
        <v/>
      </c>
      <c r="EA15" s="11">
        <f> DZ15+預測IC!EA15</f>
        <v/>
      </c>
      <c r="EB15" s="11">
        <f> EA15+預測IC!EB15</f>
        <v/>
      </c>
      <c r="EC15" s="11">
        <f> EB15+預測IC!EC15</f>
        <v/>
      </c>
      <c r="ED15" s="11">
        <f> EC15+預測IC!ED15</f>
        <v/>
      </c>
      <c r="EE15" s="11">
        <f> ED15+預測IC!EE15</f>
        <v/>
      </c>
      <c r="EF15" s="11">
        <f> EE15+預測IC!EF15</f>
        <v/>
      </c>
    </row>
    <row r="16" ht="16.2" customFormat="1" customHeight="1" s="8" thickBot="1">
      <c r="A16" s="50" t="n">
        <v>107</v>
      </c>
      <c r="B16" s="50" t="n">
        <v>9</v>
      </c>
      <c r="C16" s="11" t="n">
        <v>0.20787478</v>
      </c>
      <c r="D16" s="11">
        <f> C16+預測IC!D16</f>
        <v/>
      </c>
      <c r="E16" s="11">
        <f> D16+預測IC!E16</f>
        <v/>
      </c>
      <c r="F16" s="11">
        <f> E16+預測IC!F16</f>
        <v/>
      </c>
      <c r="G16" s="11">
        <f> F16+預測IC!G16</f>
        <v/>
      </c>
      <c r="H16" s="11">
        <f> G16+預測IC!H16</f>
        <v/>
      </c>
      <c r="I16" s="11">
        <f> H16+預測IC!I16</f>
        <v/>
      </c>
      <c r="J16" s="11">
        <f> I16+預測IC!J16</f>
        <v/>
      </c>
      <c r="K16" s="11">
        <f> J16+預測IC!K16</f>
        <v/>
      </c>
      <c r="L16" s="11">
        <f> K16+預測IC!L16</f>
        <v/>
      </c>
      <c r="M16" s="11">
        <f> L16+預測IC!M16</f>
        <v/>
      </c>
      <c r="N16" s="11">
        <f> M16+預測IC!N16</f>
        <v/>
      </c>
      <c r="O16" s="11">
        <f> N16+預測IC!O16</f>
        <v/>
      </c>
      <c r="P16" s="11">
        <f> O16+預測IC!P16</f>
        <v/>
      </c>
      <c r="Q16" s="11">
        <f> P16+預測IC!Q16</f>
        <v/>
      </c>
      <c r="R16" s="11">
        <f> Q16+預測IC!R16</f>
        <v/>
      </c>
      <c r="S16" s="11">
        <f> R16+預測IC!S16</f>
        <v/>
      </c>
      <c r="T16" s="11">
        <f> S16+預測IC!T16</f>
        <v/>
      </c>
      <c r="U16" s="11">
        <f> T16+預測IC!U16</f>
        <v/>
      </c>
      <c r="V16" s="11">
        <f> U16+預測IC!V16</f>
        <v/>
      </c>
      <c r="W16" s="11">
        <f> V16+預測IC!W16</f>
        <v/>
      </c>
      <c r="X16" s="11">
        <f> W16+預測IC!X16</f>
        <v/>
      </c>
      <c r="Y16" s="11">
        <f> X16+預測IC!Y16</f>
        <v/>
      </c>
      <c r="Z16" s="11">
        <f> Y16+預測IC!Z16</f>
        <v/>
      </c>
      <c r="AA16" s="11">
        <f> Z16+預測IC!AA16</f>
        <v/>
      </c>
      <c r="AB16" s="11">
        <f> AA16+預測IC!AB16</f>
        <v/>
      </c>
      <c r="AC16" s="11">
        <f> AB16+預測IC!AC16</f>
        <v/>
      </c>
      <c r="AD16" s="11">
        <f> AC16+預測IC!AD16</f>
        <v/>
      </c>
      <c r="AE16" s="11">
        <f> AD16+預測IC!AE16</f>
        <v/>
      </c>
      <c r="AF16" s="11">
        <f> AE16+預測IC!AF16</f>
        <v/>
      </c>
      <c r="AG16" s="11">
        <f> AF16+預測IC!AG16</f>
        <v/>
      </c>
      <c r="AH16" s="11">
        <f> AG16+預測IC!AH16</f>
        <v/>
      </c>
      <c r="AI16" s="11">
        <f> AH16+預測IC!AI16</f>
        <v/>
      </c>
      <c r="AJ16" s="11">
        <f> AI16+預測IC!AJ16</f>
        <v/>
      </c>
      <c r="AK16" s="11">
        <f> AJ16+預測IC!AK16</f>
        <v/>
      </c>
      <c r="AL16" s="11">
        <f> AK16+預測IC!AL16</f>
        <v/>
      </c>
      <c r="AM16" s="11">
        <f> AL16+預測IC!AM16</f>
        <v/>
      </c>
      <c r="AN16" s="11">
        <f> AM16+預測IC!AN16</f>
        <v/>
      </c>
      <c r="AO16" s="11">
        <f> AN16+預測IC!AO16</f>
        <v/>
      </c>
      <c r="AP16" s="11">
        <f> AO16+預測IC!AP16</f>
        <v/>
      </c>
      <c r="AQ16" s="11">
        <f> AP16+預測IC!AQ16</f>
        <v/>
      </c>
      <c r="AR16" s="11">
        <f> AQ16+預測IC!AR16</f>
        <v/>
      </c>
      <c r="AS16" s="11">
        <f> AR16+預測IC!AS16</f>
        <v/>
      </c>
      <c r="AT16" s="11">
        <f> AS16+預測IC!AT16</f>
        <v/>
      </c>
      <c r="AU16" s="11">
        <f> AT16+預測IC!AU16</f>
        <v/>
      </c>
      <c r="AV16" s="11">
        <f> AU16+預測IC!AV16</f>
        <v/>
      </c>
      <c r="AW16" s="11">
        <f> AV16+預測IC!AW16</f>
        <v/>
      </c>
      <c r="AX16" s="11">
        <f> AW16+預測IC!AX16</f>
        <v/>
      </c>
      <c r="AY16" s="11">
        <f> AX16+預測IC!AY16</f>
        <v/>
      </c>
      <c r="AZ16" s="11">
        <f> AY16+預測IC!AZ16</f>
        <v/>
      </c>
      <c r="BA16" s="11">
        <f> AZ16+預測IC!BA16</f>
        <v/>
      </c>
      <c r="BB16" s="11">
        <f> BA16+預測IC!BB16</f>
        <v/>
      </c>
      <c r="BC16" s="11">
        <f> BB16+預測IC!BC16</f>
        <v/>
      </c>
      <c r="BD16" s="11">
        <f> BC16+預測IC!BD16</f>
        <v/>
      </c>
      <c r="BE16" s="11">
        <f> BD16+預測IC!BE16</f>
        <v/>
      </c>
      <c r="BF16" s="11">
        <f> BE16+預測IC!BF16</f>
        <v/>
      </c>
      <c r="BG16" s="11">
        <f> BF16+預測IC!BG16</f>
        <v/>
      </c>
      <c r="BH16" s="11">
        <f> BG16+預測IC!BH16</f>
        <v/>
      </c>
      <c r="BI16" s="11">
        <f> BH16+預測IC!BI16</f>
        <v/>
      </c>
      <c r="BJ16" s="11">
        <f> BI16+預測IC!BJ16</f>
        <v/>
      </c>
      <c r="BK16" s="11">
        <f> BJ16+預測IC!BK16</f>
        <v/>
      </c>
      <c r="BL16" s="11">
        <f> BK16+預測IC!BL16</f>
        <v/>
      </c>
      <c r="BM16" s="11">
        <f> BL16+預測IC!BM16</f>
        <v/>
      </c>
      <c r="BN16" s="11">
        <f> BM16+預測IC!BN16</f>
        <v/>
      </c>
      <c r="BO16" s="11">
        <f> BN16+預測IC!BO16</f>
        <v/>
      </c>
      <c r="BP16" s="11">
        <f> BO16+預測IC!BP16</f>
        <v/>
      </c>
      <c r="BQ16" s="11">
        <f> BP16+預測IC!BQ16</f>
        <v/>
      </c>
      <c r="BR16" s="11">
        <f> BQ16+預測IC!BR16</f>
        <v/>
      </c>
      <c r="BS16" s="11">
        <f> BR16+預測IC!BS16</f>
        <v/>
      </c>
      <c r="BT16" s="11">
        <f> BS16+預測IC!BT16</f>
        <v/>
      </c>
      <c r="BU16" s="11">
        <f> BT16+預測IC!BU16</f>
        <v/>
      </c>
      <c r="BV16" s="11">
        <f> BU16+預測IC!BV16</f>
        <v/>
      </c>
      <c r="BW16" s="11">
        <f> BV16+預測IC!BW16</f>
        <v/>
      </c>
      <c r="BX16" s="11">
        <f> BW16+預測IC!BX16</f>
        <v/>
      </c>
      <c r="BY16" s="11">
        <f> BX16+預測IC!BY16</f>
        <v/>
      </c>
      <c r="BZ16" s="11">
        <f> BY16+預測IC!BZ16</f>
        <v/>
      </c>
      <c r="CA16" s="11">
        <f> BZ16+預測IC!CA16</f>
        <v/>
      </c>
      <c r="CB16" s="11">
        <f> CA16+預測IC!CB16</f>
        <v/>
      </c>
      <c r="CC16" s="11">
        <f> CB16+預測IC!CC16</f>
        <v/>
      </c>
      <c r="CD16" s="11">
        <f> CC16+預測IC!CD16</f>
        <v/>
      </c>
      <c r="CE16" s="11">
        <f> CD16+預測IC!CE16</f>
        <v/>
      </c>
      <c r="CF16" s="11">
        <f> CE16+預測IC!CF16</f>
        <v/>
      </c>
      <c r="CG16" s="11">
        <f> CF16+預測IC!CG16</f>
        <v/>
      </c>
      <c r="CH16" s="11">
        <f> CG16+預測IC!CH16</f>
        <v/>
      </c>
      <c r="CI16" s="11">
        <f> CH16+預測IC!CI16</f>
        <v/>
      </c>
      <c r="CJ16" s="11">
        <f> CI16+預測IC!CJ16</f>
        <v/>
      </c>
      <c r="CK16" s="11">
        <f> CJ16+預測IC!CK16</f>
        <v/>
      </c>
      <c r="CL16" s="11">
        <f> CK16+預測IC!CL16</f>
        <v/>
      </c>
      <c r="CM16" s="11">
        <f> CL16+預測IC!CM16</f>
        <v/>
      </c>
      <c r="CN16" s="11">
        <f> CM16+預測IC!CN16</f>
        <v/>
      </c>
      <c r="CO16" s="11">
        <f> CN16+預測IC!CO16</f>
        <v/>
      </c>
      <c r="CP16" s="11">
        <f> CO16+預測IC!CP16</f>
        <v/>
      </c>
      <c r="CQ16" s="11">
        <f> CP16+預測IC!CQ16</f>
        <v/>
      </c>
      <c r="CR16" s="11">
        <f> CQ16+預測IC!CR16</f>
        <v/>
      </c>
      <c r="CS16" s="11">
        <f> CR16+預測IC!CS16</f>
        <v/>
      </c>
      <c r="CT16" s="11">
        <f> CS16+預測IC!CT16</f>
        <v/>
      </c>
      <c r="CU16" s="11">
        <f> CT16+預測IC!CU16</f>
        <v/>
      </c>
      <c r="CV16" s="11">
        <f> CU16+預測IC!CV16</f>
        <v/>
      </c>
      <c r="CW16" s="11">
        <f> CV16+預測IC!CW16</f>
        <v/>
      </c>
      <c r="CX16" s="11">
        <f> CW16+預測IC!CX16</f>
        <v/>
      </c>
      <c r="CY16" s="11">
        <f> CX16+預測IC!CY16</f>
        <v/>
      </c>
      <c r="CZ16" s="11">
        <f> CY16+預測IC!CZ16</f>
        <v/>
      </c>
      <c r="DA16" s="11">
        <f> CZ16+預測IC!DA16</f>
        <v/>
      </c>
      <c r="DB16" s="11">
        <f> DA16+預測IC!DB16</f>
        <v/>
      </c>
      <c r="DC16" s="11">
        <f> DB16+預測IC!DC16</f>
        <v/>
      </c>
      <c r="DD16" s="11">
        <f> DC16+預測IC!DD16</f>
        <v/>
      </c>
      <c r="DE16" s="11">
        <f> DD16+預測IC!DE16</f>
        <v/>
      </c>
      <c r="DF16" s="11">
        <f> DE16+預測IC!DF16</f>
        <v/>
      </c>
      <c r="DG16" s="11">
        <f> DF16+預測IC!DG16</f>
        <v/>
      </c>
      <c r="DH16" s="11">
        <f> DG16+預測IC!DH16</f>
        <v/>
      </c>
      <c r="DI16" s="11">
        <f> DH16+預測IC!DI16</f>
        <v/>
      </c>
      <c r="DJ16" s="11">
        <f> DI16+預測IC!DJ16</f>
        <v/>
      </c>
      <c r="DK16" s="11">
        <f> DJ16+預測IC!DK16</f>
        <v/>
      </c>
      <c r="DL16" s="11">
        <f> DK16+預測IC!DL16</f>
        <v/>
      </c>
      <c r="DM16" s="11">
        <f> DL16+預測IC!DM16</f>
        <v/>
      </c>
      <c r="DN16" s="11">
        <f> DM16+預測IC!DN16</f>
        <v/>
      </c>
      <c r="DO16" s="11">
        <f> DN16+預測IC!DO16</f>
        <v/>
      </c>
      <c r="DP16" s="11">
        <f> DO16+預測IC!DP16</f>
        <v/>
      </c>
      <c r="DQ16" s="11">
        <f> DP16+預測IC!DQ16</f>
        <v/>
      </c>
      <c r="DR16" s="11">
        <f> DQ16+預測IC!DR16</f>
        <v/>
      </c>
      <c r="DS16" s="11">
        <f> DR16+預測IC!DS16</f>
        <v/>
      </c>
      <c r="DT16" s="11">
        <f> DS16+預測IC!DT16</f>
        <v/>
      </c>
      <c r="DU16" s="11">
        <f> DT16+預測IC!DU16</f>
        <v/>
      </c>
      <c r="DV16" s="11">
        <f> DU16+預測IC!DV16</f>
        <v/>
      </c>
      <c r="DW16" s="11">
        <f> DV16+預測IC!DW16</f>
        <v/>
      </c>
      <c r="DX16" s="11">
        <f> DW16+預測IC!DX16</f>
        <v/>
      </c>
      <c r="DY16" s="11">
        <f> DX16+預測IC!DY16</f>
        <v/>
      </c>
      <c r="DZ16" s="11">
        <f> DY16+預測IC!DZ16</f>
        <v/>
      </c>
      <c r="EA16" s="11">
        <f> DZ16+預測IC!EA16</f>
        <v/>
      </c>
      <c r="EB16" s="11">
        <f> EA16+預測IC!EB16</f>
        <v/>
      </c>
      <c r="EC16" s="11">
        <f> EB16+預測IC!EC16</f>
        <v/>
      </c>
      <c r="ED16" s="11">
        <f> EC16+預測IC!ED16</f>
        <v/>
      </c>
      <c r="EE16" s="11">
        <f> ED16+預測IC!EE16</f>
        <v/>
      </c>
      <c r="EF16" s="11">
        <f> EE16+預測IC!EF16</f>
        <v/>
      </c>
    </row>
    <row r="17" ht="16.2" customFormat="1" customHeight="1" s="8" thickBot="1">
      <c r="A17" s="50" t="n">
        <v>120</v>
      </c>
      <c r="B17" s="50" t="n">
        <v>8</v>
      </c>
      <c r="C17" s="11" t="n">
        <v>0.20609219</v>
      </c>
      <c r="D17" s="11">
        <f> C17+預測IC!D17</f>
        <v/>
      </c>
      <c r="E17" s="11">
        <f> D17+預測IC!E17</f>
        <v/>
      </c>
      <c r="F17" s="11">
        <f> E17+預測IC!F17</f>
        <v/>
      </c>
      <c r="G17" s="11">
        <f> F17+預測IC!G17</f>
        <v/>
      </c>
      <c r="H17" s="11">
        <f> G17+預測IC!H17</f>
        <v/>
      </c>
      <c r="I17" s="11">
        <f> H17+預測IC!I17</f>
        <v/>
      </c>
      <c r="J17" s="11">
        <f> I17+預測IC!J17</f>
        <v/>
      </c>
      <c r="K17" s="11">
        <f> J17+預測IC!K17</f>
        <v/>
      </c>
      <c r="L17" s="11">
        <f> K17+預測IC!L17</f>
        <v/>
      </c>
      <c r="M17" s="11">
        <f> L17+預測IC!M17</f>
        <v/>
      </c>
      <c r="N17" s="11">
        <f> M17+預測IC!N17</f>
        <v/>
      </c>
      <c r="O17" s="11">
        <f> N17+預測IC!O17</f>
        <v/>
      </c>
      <c r="P17" s="11">
        <f> O17+預測IC!P17</f>
        <v/>
      </c>
      <c r="Q17" s="11">
        <f> P17+預測IC!Q17</f>
        <v/>
      </c>
      <c r="R17" s="11">
        <f> Q17+預測IC!R17</f>
        <v/>
      </c>
      <c r="S17" s="11">
        <f> R17+預測IC!S17</f>
        <v/>
      </c>
      <c r="T17" s="11">
        <f> S17+預測IC!T17</f>
        <v/>
      </c>
      <c r="U17" s="11">
        <f> T17+預測IC!U17</f>
        <v/>
      </c>
      <c r="V17" s="11">
        <f> U17+預測IC!V17</f>
        <v/>
      </c>
      <c r="W17" s="11">
        <f> V17+預測IC!W17</f>
        <v/>
      </c>
      <c r="X17" s="11">
        <f> W17+預測IC!X17</f>
        <v/>
      </c>
      <c r="Y17" s="11">
        <f> X17+預測IC!Y17</f>
        <v/>
      </c>
      <c r="Z17" s="11">
        <f> Y17+預測IC!Z17</f>
        <v/>
      </c>
      <c r="AA17" s="11">
        <f> Z17+預測IC!AA17</f>
        <v/>
      </c>
      <c r="AB17" s="11">
        <f> AA17+預測IC!AB17</f>
        <v/>
      </c>
      <c r="AC17" s="11">
        <f> AB17+預測IC!AC17</f>
        <v/>
      </c>
      <c r="AD17" s="11">
        <f> AC17+預測IC!AD17</f>
        <v/>
      </c>
      <c r="AE17" s="11">
        <f> AD17+預測IC!AE17</f>
        <v/>
      </c>
      <c r="AF17" s="11">
        <f> AE17+預測IC!AF17</f>
        <v/>
      </c>
      <c r="AG17" s="11">
        <f> AF17+預測IC!AG17</f>
        <v/>
      </c>
      <c r="AH17" s="11">
        <f> AG17+預測IC!AH17</f>
        <v/>
      </c>
      <c r="AI17" s="11">
        <f> AH17+預測IC!AI17</f>
        <v/>
      </c>
      <c r="AJ17" s="11">
        <f> AI17+預測IC!AJ17</f>
        <v/>
      </c>
      <c r="AK17" s="11">
        <f> AJ17+預測IC!AK17</f>
        <v/>
      </c>
      <c r="AL17" s="11">
        <f> AK17+預測IC!AL17</f>
        <v/>
      </c>
      <c r="AM17" s="11">
        <f> AL17+預測IC!AM17</f>
        <v/>
      </c>
      <c r="AN17" s="11">
        <f> AM17+預測IC!AN17</f>
        <v/>
      </c>
      <c r="AO17" s="11">
        <f> AN17+預測IC!AO17</f>
        <v/>
      </c>
      <c r="AP17" s="11">
        <f> AO17+預測IC!AP17</f>
        <v/>
      </c>
      <c r="AQ17" s="11">
        <f> AP17+預測IC!AQ17</f>
        <v/>
      </c>
      <c r="AR17" s="11">
        <f> AQ17+預測IC!AR17</f>
        <v/>
      </c>
      <c r="AS17" s="11">
        <f> AR17+預測IC!AS17</f>
        <v/>
      </c>
      <c r="AT17" s="11">
        <f> AS17+預測IC!AT17</f>
        <v/>
      </c>
      <c r="AU17" s="11">
        <f> AT17+預測IC!AU17</f>
        <v/>
      </c>
      <c r="AV17" s="11">
        <f> AU17+預測IC!AV17</f>
        <v/>
      </c>
      <c r="AW17" s="11">
        <f> AV17+預測IC!AW17</f>
        <v/>
      </c>
      <c r="AX17" s="11">
        <f> AW17+預測IC!AX17</f>
        <v/>
      </c>
      <c r="AY17" s="11">
        <f> AX17+預測IC!AY17</f>
        <v/>
      </c>
      <c r="AZ17" s="11">
        <f> AY17+預測IC!AZ17</f>
        <v/>
      </c>
      <c r="BA17" s="11">
        <f> AZ17+預測IC!BA17</f>
        <v/>
      </c>
      <c r="BB17" s="11">
        <f> BA17+預測IC!BB17</f>
        <v/>
      </c>
      <c r="BC17" s="11">
        <f> BB17+預測IC!BC17</f>
        <v/>
      </c>
      <c r="BD17" s="11">
        <f> BC17+預測IC!BD17</f>
        <v/>
      </c>
      <c r="BE17" s="11">
        <f> BD17+預測IC!BE17</f>
        <v/>
      </c>
      <c r="BF17" s="11">
        <f> BE17+預測IC!BF17</f>
        <v/>
      </c>
      <c r="BG17" s="11">
        <f> BF17+預測IC!BG17</f>
        <v/>
      </c>
      <c r="BH17" s="11">
        <f> BG17+預測IC!BH17</f>
        <v/>
      </c>
      <c r="BI17" s="11">
        <f> BH17+預測IC!BI17</f>
        <v/>
      </c>
      <c r="BJ17" s="11">
        <f> BI17+預測IC!BJ17</f>
        <v/>
      </c>
      <c r="BK17" s="11">
        <f> BJ17+預測IC!BK17</f>
        <v/>
      </c>
      <c r="BL17" s="11">
        <f> BK17+預測IC!BL17</f>
        <v/>
      </c>
      <c r="BM17" s="11">
        <f> BL17+預測IC!BM17</f>
        <v/>
      </c>
      <c r="BN17" s="11">
        <f> BM17+預測IC!BN17</f>
        <v/>
      </c>
      <c r="BO17" s="11">
        <f> BN17+預測IC!BO17</f>
        <v/>
      </c>
      <c r="BP17" s="11">
        <f> BO17+預測IC!BP17</f>
        <v/>
      </c>
      <c r="BQ17" s="11">
        <f> BP17+預測IC!BQ17</f>
        <v/>
      </c>
      <c r="BR17" s="11">
        <f> BQ17+預測IC!BR17</f>
        <v/>
      </c>
      <c r="BS17" s="11">
        <f> BR17+預測IC!BS17</f>
        <v/>
      </c>
      <c r="BT17" s="11">
        <f> BS17+預測IC!BT17</f>
        <v/>
      </c>
      <c r="BU17" s="11">
        <f> BT17+預測IC!BU17</f>
        <v/>
      </c>
      <c r="BV17" s="11">
        <f> BU17+預測IC!BV17</f>
        <v/>
      </c>
      <c r="BW17" s="11">
        <f> BV17+預測IC!BW17</f>
        <v/>
      </c>
      <c r="BX17" s="11">
        <f> BW17+預測IC!BX17</f>
        <v/>
      </c>
      <c r="BY17" s="11">
        <f> BX17+預測IC!BY17</f>
        <v/>
      </c>
      <c r="BZ17" s="11">
        <f> BY17+預測IC!BZ17</f>
        <v/>
      </c>
      <c r="CA17" s="11">
        <f> BZ17+預測IC!CA17</f>
        <v/>
      </c>
      <c r="CB17" s="11">
        <f> CA17+預測IC!CB17</f>
        <v/>
      </c>
      <c r="CC17" s="11">
        <f> CB17+預測IC!CC17</f>
        <v/>
      </c>
      <c r="CD17" s="11">
        <f> CC17+預測IC!CD17</f>
        <v/>
      </c>
      <c r="CE17" s="11">
        <f> CD17+預測IC!CE17</f>
        <v/>
      </c>
      <c r="CF17" s="11">
        <f> CE17+預測IC!CF17</f>
        <v/>
      </c>
      <c r="CG17" s="11">
        <f> CF17+預測IC!CG17</f>
        <v/>
      </c>
      <c r="CH17" s="11">
        <f> CG17+預測IC!CH17</f>
        <v/>
      </c>
      <c r="CI17" s="11">
        <f> CH17+預測IC!CI17</f>
        <v/>
      </c>
      <c r="CJ17" s="11">
        <f> CI17+預測IC!CJ17</f>
        <v/>
      </c>
      <c r="CK17" s="11">
        <f> CJ17+預測IC!CK17</f>
        <v/>
      </c>
      <c r="CL17" s="11">
        <f> CK17+預測IC!CL17</f>
        <v/>
      </c>
      <c r="CM17" s="11">
        <f> CL17+預測IC!CM17</f>
        <v/>
      </c>
      <c r="CN17" s="11">
        <f> CM17+預測IC!CN17</f>
        <v/>
      </c>
      <c r="CO17" s="11">
        <f> CN17+預測IC!CO17</f>
        <v/>
      </c>
      <c r="CP17" s="11">
        <f> CO17+預測IC!CP17</f>
        <v/>
      </c>
      <c r="CQ17" s="11">
        <f> CP17+預測IC!CQ17</f>
        <v/>
      </c>
      <c r="CR17" s="11">
        <f> CQ17+預測IC!CR17</f>
        <v/>
      </c>
      <c r="CS17" s="11">
        <f> CR17+預測IC!CS17</f>
        <v/>
      </c>
      <c r="CT17" s="11">
        <f> CS17+預測IC!CT17</f>
        <v/>
      </c>
      <c r="CU17" s="11">
        <f> CT17+預測IC!CU17</f>
        <v/>
      </c>
      <c r="CV17" s="11">
        <f> CU17+預測IC!CV17</f>
        <v/>
      </c>
      <c r="CW17" s="11">
        <f> CV17+預測IC!CW17</f>
        <v/>
      </c>
      <c r="CX17" s="11">
        <f> CW17+預測IC!CX17</f>
        <v/>
      </c>
      <c r="CY17" s="11">
        <f> CX17+預測IC!CY17</f>
        <v/>
      </c>
      <c r="CZ17" s="11">
        <f> CY17+預測IC!CZ17</f>
        <v/>
      </c>
      <c r="DA17" s="11">
        <f> CZ17+預測IC!DA17</f>
        <v/>
      </c>
      <c r="DB17" s="11">
        <f> DA17+預測IC!DB17</f>
        <v/>
      </c>
      <c r="DC17" s="11">
        <f> DB17+預測IC!DC17</f>
        <v/>
      </c>
      <c r="DD17" s="11">
        <f> DC17+預測IC!DD17</f>
        <v/>
      </c>
      <c r="DE17" s="11">
        <f> DD17+預測IC!DE17</f>
        <v/>
      </c>
      <c r="DF17" s="11">
        <f> DE17+預測IC!DF17</f>
        <v/>
      </c>
      <c r="DG17" s="11">
        <f> DF17+預測IC!DG17</f>
        <v/>
      </c>
      <c r="DH17" s="11">
        <f> DG17+預測IC!DH17</f>
        <v/>
      </c>
      <c r="DI17" s="11">
        <f> DH17+預測IC!DI17</f>
        <v/>
      </c>
      <c r="DJ17" s="11">
        <f> DI17+預測IC!DJ17</f>
        <v/>
      </c>
      <c r="DK17" s="11">
        <f> DJ17+預測IC!DK17</f>
        <v/>
      </c>
      <c r="DL17" s="11">
        <f> DK17+預測IC!DL17</f>
        <v/>
      </c>
      <c r="DM17" s="11">
        <f> DL17+預測IC!DM17</f>
        <v/>
      </c>
      <c r="DN17" s="11">
        <f> DM17+預測IC!DN17</f>
        <v/>
      </c>
      <c r="DO17" s="11">
        <f> DN17+預測IC!DO17</f>
        <v/>
      </c>
      <c r="DP17" s="11">
        <f> DO17+預測IC!DP17</f>
        <v/>
      </c>
      <c r="DQ17" s="11">
        <f> DP17+預測IC!DQ17</f>
        <v/>
      </c>
      <c r="DR17" s="11">
        <f> DQ17+預測IC!DR17</f>
        <v/>
      </c>
      <c r="DS17" s="11">
        <f> DR17+預測IC!DS17</f>
        <v/>
      </c>
      <c r="DT17" s="11">
        <f> DS17+預測IC!DT17</f>
        <v/>
      </c>
      <c r="DU17" s="11">
        <f> DT17+預測IC!DU17</f>
        <v/>
      </c>
      <c r="DV17" s="11">
        <f> DU17+預測IC!DV17</f>
        <v/>
      </c>
      <c r="DW17" s="11">
        <f> DV17+預測IC!DW17</f>
        <v/>
      </c>
      <c r="DX17" s="11">
        <f> DW17+預測IC!DX17</f>
        <v/>
      </c>
      <c r="DY17" s="11">
        <f> DX17+預測IC!DY17</f>
        <v/>
      </c>
      <c r="DZ17" s="11">
        <f> DY17+預測IC!DZ17</f>
        <v/>
      </c>
      <c r="EA17" s="11">
        <f> DZ17+預測IC!EA17</f>
        <v/>
      </c>
      <c r="EB17" s="11">
        <f> EA17+預測IC!EB17</f>
        <v/>
      </c>
      <c r="EC17" s="11">
        <f> EB17+預測IC!EC17</f>
        <v/>
      </c>
      <c r="ED17" s="11">
        <f> EC17+預測IC!ED17</f>
        <v/>
      </c>
      <c r="EE17" s="11">
        <f> ED17+預測IC!EE17</f>
        <v/>
      </c>
      <c r="EF17" s="11">
        <f> EE17+預測IC!EF17</f>
        <v/>
      </c>
    </row>
    <row r="18" ht="16.2" customFormat="1" customHeight="1" s="8" thickBot="1">
      <c r="A18" s="50" t="n">
        <v>137</v>
      </c>
      <c r="B18" s="50" t="n">
        <v>7</v>
      </c>
      <c r="C18" s="11" t="n">
        <v>0.18975112</v>
      </c>
      <c r="D18" s="11">
        <f> C18+預測IC!D18</f>
        <v/>
      </c>
      <c r="E18" s="11">
        <f> D18+預測IC!E18</f>
        <v/>
      </c>
      <c r="F18" s="11">
        <f> E18+預測IC!F18</f>
        <v/>
      </c>
      <c r="G18" s="11">
        <f> F18+預測IC!G18</f>
        <v/>
      </c>
      <c r="H18" s="11">
        <f> G18+預測IC!H18</f>
        <v/>
      </c>
      <c r="I18" s="11">
        <f> H18+預測IC!I18</f>
        <v/>
      </c>
      <c r="J18" s="11">
        <f> I18+預測IC!J18</f>
        <v/>
      </c>
      <c r="K18" s="11">
        <f> J18+預測IC!K18</f>
        <v/>
      </c>
      <c r="L18" s="11">
        <f> K18+預測IC!L18</f>
        <v/>
      </c>
      <c r="M18" s="11">
        <f> L18+預測IC!M18</f>
        <v/>
      </c>
      <c r="N18" s="11">
        <f> M18+預測IC!N18</f>
        <v/>
      </c>
      <c r="O18" s="11">
        <f> N18+預測IC!O18</f>
        <v/>
      </c>
      <c r="P18" s="11">
        <f> O18+預測IC!P18</f>
        <v/>
      </c>
      <c r="Q18" s="11">
        <f> P18+預測IC!Q18</f>
        <v/>
      </c>
      <c r="R18" s="11">
        <f> Q18+預測IC!R18</f>
        <v/>
      </c>
      <c r="S18" s="11">
        <f> R18+預測IC!S18</f>
        <v/>
      </c>
      <c r="T18" s="11">
        <f> S18+預測IC!T18</f>
        <v/>
      </c>
      <c r="U18" s="11">
        <f> T18+預測IC!U18</f>
        <v/>
      </c>
      <c r="V18" s="11">
        <f> U18+預測IC!V18</f>
        <v/>
      </c>
      <c r="W18" s="11">
        <f> V18+預測IC!W18</f>
        <v/>
      </c>
      <c r="X18" s="11">
        <f> W18+預測IC!X18</f>
        <v/>
      </c>
      <c r="Y18" s="11">
        <f> X18+預測IC!Y18</f>
        <v/>
      </c>
      <c r="Z18" s="11">
        <f> Y18+預測IC!Z18</f>
        <v/>
      </c>
      <c r="AA18" s="11">
        <f> Z18+預測IC!AA18</f>
        <v/>
      </c>
      <c r="AB18" s="11">
        <f> AA18+預測IC!AB18</f>
        <v/>
      </c>
      <c r="AC18" s="11">
        <f> AB18+預測IC!AC18</f>
        <v/>
      </c>
      <c r="AD18" s="11">
        <f> AC18+預測IC!AD18</f>
        <v/>
      </c>
      <c r="AE18" s="11">
        <f> AD18+預測IC!AE18</f>
        <v/>
      </c>
      <c r="AF18" s="11">
        <f> AE18+預測IC!AF18</f>
        <v/>
      </c>
      <c r="AG18" s="11">
        <f> AF18+預測IC!AG18</f>
        <v/>
      </c>
      <c r="AH18" s="11">
        <f> AG18+預測IC!AH18</f>
        <v/>
      </c>
      <c r="AI18" s="11">
        <f> AH18+預測IC!AI18</f>
        <v/>
      </c>
      <c r="AJ18" s="11">
        <f> AI18+預測IC!AJ18</f>
        <v/>
      </c>
      <c r="AK18" s="11">
        <f> AJ18+預測IC!AK18</f>
        <v/>
      </c>
      <c r="AL18" s="11">
        <f> AK18+預測IC!AL18</f>
        <v/>
      </c>
      <c r="AM18" s="11">
        <f> AL18+預測IC!AM18</f>
        <v/>
      </c>
      <c r="AN18" s="11">
        <f> AM18+預測IC!AN18</f>
        <v/>
      </c>
      <c r="AO18" s="11">
        <f> AN18+預測IC!AO18</f>
        <v/>
      </c>
      <c r="AP18" s="11">
        <f> AO18+預測IC!AP18</f>
        <v/>
      </c>
      <c r="AQ18" s="11">
        <f> AP18+預測IC!AQ18</f>
        <v/>
      </c>
      <c r="AR18" s="11">
        <f> AQ18+預測IC!AR18</f>
        <v/>
      </c>
      <c r="AS18" s="11">
        <f> AR18+預測IC!AS18</f>
        <v/>
      </c>
      <c r="AT18" s="11">
        <f> AS18+預測IC!AT18</f>
        <v/>
      </c>
      <c r="AU18" s="11">
        <f> AT18+預測IC!AU18</f>
        <v/>
      </c>
      <c r="AV18" s="11">
        <f> AU18+預測IC!AV18</f>
        <v/>
      </c>
      <c r="AW18" s="11">
        <f> AV18+預測IC!AW18</f>
        <v/>
      </c>
      <c r="AX18" s="11">
        <f> AW18+預測IC!AX18</f>
        <v/>
      </c>
      <c r="AY18" s="11">
        <f> AX18+預測IC!AY18</f>
        <v/>
      </c>
      <c r="AZ18" s="11">
        <f> AY18+預測IC!AZ18</f>
        <v/>
      </c>
      <c r="BA18" s="11">
        <f> AZ18+預測IC!BA18</f>
        <v/>
      </c>
      <c r="BB18" s="11">
        <f> BA18+預測IC!BB18</f>
        <v/>
      </c>
      <c r="BC18" s="11">
        <f> BB18+預測IC!BC18</f>
        <v/>
      </c>
      <c r="BD18" s="11">
        <f> BC18+預測IC!BD18</f>
        <v/>
      </c>
      <c r="BE18" s="11">
        <f> BD18+預測IC!BE18</f>
        <v/>
      </c>
      <c r="BF18" s="11">
        <f> BE18+預測IC!BF18</f>
        <v/>
      </c>
      <c r="BG18" s="11">
        <f> BF18+預測IC!BG18</f>
        <v/>
      </c>
      <c r="BH18" s="11">
        <f> BG18+預測IC!BH18</f>
        <v/>
      </c>
      <c r="BI18" s="11">
        <f> BH18+預測IC!BI18</f>
        <v/>
      </c>
      <c r="BJ18" s="11">
        <f> BI18+預測IC!BJ18</f>
        <v/>
      </c>
      <c r="BK18" s="11">
        <f> BJ18+預測IC!BK18</f>
        <v/>
      </c>
      <c r="BL18" s="11">
        <f> BK18+預測IC!BL18</f>
        <v/>
      </c>
      <c r="BM18" s="11">
        <f> BL18+預測IC!BM18</f>
        <v/>
      </c>
      <c r="BN18" s="11">
        <f> BM18+預測IC!BN18</f>
        <v/>
      </c>
      <c r="BO18" s="11">
        <f> BN18+預測IC!BO18</f>
        <v/>
      </c>
      <c r="BP18" s="11">
        <f> BO18+預測IC!BP18</f>
        <v/>
      </c>
      <c r="BQ18" s="11">
        <f> BP18+預測IC!BQ18</f>
        <v/>
      </c>
      <c r="BR18" s="11">
        <f> BQ18+預測IC!BR18</f>
        <v/>
      </c>
      <c r="BS18" s="11">
        <f> BR18+預測IC!BS18</f>
        <v/>
      </c>
      <c r="BT18" s="11">
        <f> BS18+預測IC!BT18</f>
        <v/>
      </c>
      <c r="BU18" s="11">
        <f> BT18+預測IC!BU18</f>
        <v/>
      </c>
      <c r="BV18" s="11">
        <f> BU18+預測IC!BV18</f>
        <v/>
      </c>
      <c r="BW18" s="11">
        <f> BV18+預測IC!BW18</f>
        <v/>
      </c>
      <c r="BX18" s="11">
        <f> BW18+預測IC!BX18</f>
        <v/>
      </c>
      <c r="BY18" s="11">
        <f> BX18+預測IC!BY18</f>
        <v/>
      </c>
      <c r="BZ18" s="11">
        <f> BY18+預測IC!BZ18</f>
        <v/>
      </c>
      <c r="CA18" s="11">
        <f> BZ18+預測IC!CA18</f>
        <v/>
      </c>
      <c r="CB18" s="11">
        <f> CA18+預測IC!CB18</f>
        <v/>
      </c>
      <c r="CC18" s="11">
        <f> CB18+預測IC!CC18</f>
        <v/>
      </c>
      <c r="CD18" s="11">
        <f> CC18+預測IC!CD18</f>
        <v/>
      </c>
      <c r="CE18" s="11">
        <f> CD18+預測IC!CE18</f>
        <v/>
      </c>
      <c r="CF18" s="11">
        <f> CE18+預測IC!CF18</f>
        <v/>
      </c>
      <c r="CG18" s="11">
        <f> CF18+預測IC!CG18</f>
        <v/>
      </c>
      <c r="CH18" s="11">
        <f> CG18+預測IC!CH18</f>
        <v/>
      </c>
      <c r="CI18" s="11">
        <f> CH18+預測IC!CI18</f>
        <v/>
      </c>
      <c r="CJ18" s="11">
        <f> CI18+預測IC!CJ18</f>
        <v/>
      </c>
      <c r="CK18" s="11">
        <f> CJ18+預測IC!CK18</f>
        <v/>
      </c>
      <c r="CL18" s="11">
        <f> CK18+預測IC!CL18</f>
        <v/>
      </c>
      <c r="CM18" s="11">
        <f> CL18+預測IC!CM18</f>
        <v/>
      </c>
      <c r="CN18" s="11">
        <f> CM18+預測IC!CN18</f>
        <v/>
      </c>
      <c r="CO18" s="11">
        <f> CN18+預測IC!CO18</f>
        <v/>
      </c>
      <c r="CP18" s="11">
        <f> CO18+預測IC!CP18</f>
        <v/>
      </c>
      <c r="CQ18" s="11">
        <f> CP18+預測IC!CQ18</f>
        <v/>
      </c>
      <c r="CR18" s="11">
        <f> CQ18+預測IC!CR18</f>
        <v/>
      </c>
      <c r="CS18" s="11">
        <f> CR18+預測IC!CS18</f>
        <v/>
      </c>
      <c r="CT18" s="11">
        <f> CS18+預測IC!CT18</f>
        <v/>
      </c>
      <c r="CU18" s="11">
        <f> CT18+預測IC!CU18</f>
        <v/>
      </c>
      <c r="CV18" s="11">
        <f> CU18+預測IC!CV18</f>
        <v/>
      </c>
      <c r="CW18" s="11">
        <f> CV18+預測IC!CW18</f>
        <v/>
      </c>
      <c r="CX18" s="11">
        <f> CW18+預測IC!CX18</f>
        <v/>
      </c>
      <c r="CY18" s="11">
        <f> CX18+預測IC!CY18</f>
        <v/>
      </c>
      <c r="CZ18" s="11">
        <f> CY18+預測IC!CZ18</f>
        <v/>
      </c>
      <c r="DA18" s="11">
        <f> CZ18+預測IC!DA18</f>
        <v/>
      </c>
      <c r="DB18" s="11">
        <f> DA18+預測IC!DB18</f>
        <v/>
      </c>
      <c r="DC18" s="11">
        <f> DB18+預測IC!DC18</f>
        <v/>
      </c>
      <c r="DD18" s="11">
        <f> DC18+預測IC!DD18</f>
        <v/>
      </c>
      <c r="DE18" s="11">
        <f> DD18+預測IC!DE18</f>
        <v/>
      </c>
      <c r="DF18" s="11">
        <f> DE18+預測IC!DF18</f>
        <v/>
      </c>
      <c r="DG18" s="11">
        <f> DF18+預測IC!DG18</f>
        <v/>
      </c>
      <c r="DH18" s="11">
        <f> DG18+預測IC!DH18</f>
        <v/>
      </c>
      <c r="DI18" s="11">
        <f> DH18+預測IC!DI18</f>
        <v/>
      </c>
      <c r="DJ18" s="11">
        <f> DI18+預測IC!DJ18</f>
        <v/>
      </c>
      <c r="DK18" s="11">
        <f> DJ18+預測IC!DK18</f>
        <v/>
      </c>
      <c r="DL18" s="11">
        <f> DK18+預測IC!DL18</f>
        <v/>
      </c>
      <c r="DM18" s="11">
        <f> DL18+預測IC!DM18</f>
        <v/>
      </c>
      <c r="DN18" s="11">
        <f> DM18+預測IC!DN18</f>
        <v/>
      </c>
      <c r="DO18" s="11">
        <f> DN18+預測IC!DO18</f>
        <v/>
      </c>
      <c r="DP18" s="11">
        <f> DO18+預測IC!DP18</f>
        <v/>
      </c>
      <c r="DQ18" s="11">
        <f> DP18+預測IC!DQ18</f>
        <v/>
      </c>
      <c r="DR18" s="11">
        <f> DQ18+預測IC!DR18</f>
        <v/>
      </c>
      <c r="DS18" s="11">
        <f> DR18+預測IC!DS18</f>
        <v/>
      </c>
      <c r="DT18" s="11">
        <f> DS18+預測IC!DT18</f>
        <v/>
      </c>
      <c r="DU18" s="11">
        <f> DT18+預測IC!DU18</f>
        <v/>
      </c>
      <c r="DV18" s="11">
        <f> DU18+預測IC!DV18</f>
        <v/>
      </c>
      <c r="DW18" s="11">
        <f> DV18+預測IC!DW18</f>
        <v/>
      </c>
      <c r="DX18" s="11">
        <f> DW18+預測IC!DX18</f>
        <v/>
      </c>
      <c r="DY18" s="11">
        <f> DX18+預測IC!DY18</f>
        <v/>
      </c>
      <c r="DZ18" s="11">
        <f> DY18+預測IC!DZ18</f>
        <v/>
      </c>
      <c r="EA18" s="11">
        <f> DZ18+預測IC!EA18</f>
        <v/>
      </c>
      <c r="EB18" s="11">
        <f> EA18+預測IC!EB18</f>
        <v/>
      </c>
      <c r="EC18" s="11">
        <f> EB18+預測IC!EC18</f>
        <v/>
      </c>
      <c r="ED18" s="11">
        <f> EC18+預測IC!ED18</f>
        <v/>
      </c>
      <c r="EE18" s="11">
        <f> ED18+預測IC!EE18</f>
        <v/>
      </c>
      <c r="EF18" s="11">
        <f> EE18+預測IC!EF18</f>
        <v/>
      </c>
    </row>
    <row r="19" ht="16.2" customFormat="1" customHeight="1" s="8" thickBot="1">
      <c r="A19" s="50" t="n">
        <v>160</v>
      </c>
      <c r="B19" s="50" t="n">
        <v>6</v>
      </c>
      <c r="C19" s="11" t="n">
        <v>0.19660027</v>
      </c>
      <c r="D19" s="11">
        <f> C19+預測IC!D19</f>
        <v/>
      </c>
      <c r="E19" s="11">
        <f> D19+預測IC!E19</f>
        <v/>
      </c>
      <c r="F19" s="11">
        <f> E19+預測IC!F19</f>
        <v/>
      </c>
      <c r="G19" s="11">
        <f> F19+預測IC!G19</f>
        <v/>
      </c>
      <c r="H19" s="11">
        <f> G19+預測IC!H19</f>
        <v/>
      </c>
      <c r="I19" s="11">
        <f> H19+預測IC!I19</f>
        <v/>
      </c>
      <c r="J19" s="11">
        <f> I19+預測IC!J19</f>
        <v/>
      </c>
      <c r="K19" s="11">
        <f> J19+預測IC!K19</f>
        <v/>
      </c>
      <c r="L19" s="11">
        <f> K19+預測IC!L19</f>
        <v/>
      </c>
      <c r="M19" s="11">
        <f> L19+預測IC!M19</f>
        <v/>
      </c>
      <c r="N19" s="11">
        <f> M19+預測IC!N19</f>
        <v/>
      </c>
      <c r="O19" s="11">
        <f> N19+預測IC!O19</f>
        <v/>
      </c>
      <c r="P19" s="11">
        <f> O19+預測IC!P19</f>
        <v/>
      </c>
      <c r="Q19" s="11">
        <f> P19+預測IC!Q19</f>
        <v/>
      </c>
      <c r="R19" s="11">
        <f> Q19+預測IC!R19</f>
        <v/>
      </c>
      <c r="S19" s="11">
        <f> R19+預測IC!S19</f>
        <v/>
      </c>
      <c r="T19" s="11">
        <f> S19+預測IC!T19</f>
        <v/>
      </c>
      <c r="U19" s="11">
        <f> T19+預測IC!U19</f>
        <v/>
      </c>
      <c r="V19" s="11">
        <f> U19+預測IC!V19</f>
        <v/>
      </c>
      <c r="W19" s="11">
        <f> V19+預測IC!W19</f>
        <v/>
      </c>
      <c r="X19" s="11">
        <f> W19+預測IC!X19</f>
        <v/>
      </c>
      <c r="Y19" s="11">
        <f> X19+預測IC!Y19</f>
        <v/>
      </c>
      <c r="Z19" s="11">
        <f> Y19+預測IC!Z19</f>
        <v/>
      </c>
      <c r="AA19" s="11">
        <f> Z19+預測IC!AA19</f>
        <v/>
      </c>
      <c r="AB19" s="11">
        <f> AA19+預測IC!AB19</f>
        <v/>
      </c>
      <c r="AC19" s="11">
        <f> AB19+預測IC!AC19</f>
        <v/>
      </c>
      <c r="AD19" s="11">
        <f> AC19+預測IC!AD19</f>
        <v/>
      </c>
      <c r="AE19" s="11">
        <f> AD19+預測IC!AE19</f>
        <v/>
      </c>
      <c r="AF19" s="11">
        <f> AE19+預測IC!AF19</f>
        <v/>
      </c>
      <c r="AG19" s="11">
        <f> AF19+預測IC!AG19</f>
        <v/>
      </c>
      <c r="AH19" s="11">
        <f> AG19+預測IC!AH19</f>
        <v/>
      </c>
      <c r="AI19" s="11">
        <f> AH19+預測IC!AI19</f>
        <v/>
      </c>
      <c r="AJ19" s="11">
        <f> AI19+預測IC!AJ19</f>
        <v/>
      </c>
      <c r="AK19" s="11">
        <f> AJ19+預測IC!AK19</f>
        <v/>
      </c>
      <c r="AL19" s="11">
        <f> AK19+預測IC!AL19</f>
        <v/>
      </c>
      <c r="AM19" s="11">
        <f> AL19+預測IC!AM19</f>
        <v/>
      </c>
      <c r="AN19" s="11">
        <f> AM19+預測IC!AN19</f>
        <v/>
      </c>
      <c r="AO19" s="11">
        <f> AN19+預測IC!AO19</f>
        <v/>
      </c>
      <c r="AP19" s="11">
        <f> AO19+預測IC!AP19</f>
        <v/>
      </c>
      <c r="AQ19" s="11">
        <f> AP19+預測IC!AQ19</f>
        <v/>
      </c>
      <c r="AR19" s="11">
        <f> AQ19+預測IC!AR19</f>
        <v/>
      </c>
      <c r="AS19" s="11">
        <f> AR19+預測IC!AS19</f>
        <v/>
      </c>
      <c r="AT19" s="11">
        <f> AS19+預測IC!AT19</f>
        <v/>
      </c>
      <c r="AU19" s="11">
        <f> AT19+預測IC!AU19</f>
        <v/>
      </c>
      <c r="AV19" s="11">
        <f> AU19+預測IC!AV19</f>
        <v/>
      </c>
      <c r="AW19" s="11">
        <f> AV19+預測IC!AW19</f>
        <v/>
      </c>
      <c r="AX19" s="11">
        <f> AW19+預測IC!AX19</f>
        <v/>
      </c>
      <c r="AY19" s="11">
        <f> AX19+預測IC!AY19</f>
        <v/>
      </c>
      <c r="AZ19" s="11">
        <f> AY19+預測IC!AZ19</f>
        <v/>
      </c>
      <c r="BA19" s="11">
        <f> AZ19+預測IC!BA19</f>
        <v/>
      </c>
      <c r="BB19" s="11">
        <f> BA19+預測IC!BB19</f>
        <v/>
      </c>
      <c r="BC19" s="11">
        <f> BB19+預測IC!BC19</f>
        <v/>
      </c>
      <c r="BD19" s="11">
        <f> BC19+預測IC!BD19</f>
        <v/>
      </c>
      <c r="BE19" s="11">
        <f> BD19+預測IC!BE19</f>
        <v/>
      </c>
      <c r="BF19" s="11">
        <f> BE19+預測IC!BF19</f>
        <v/>
      </c>
      <c r="BG19" s="11">
        <f> BF19+預測IC!BG19</f>
        <v/>
      </c>
      <c r="BH19" s="11">
        <f> BG19+預測IC!BH19</f>
        <v/>
      </c>
      <c r="BI19" s="11">
        <f> BH19+預測IC!BI19</f>
        <v/>
      </c>
      <c r="BJ19" s="11">
        <f> BI19+預測IC!BJ19</f>
        <v/>
      </c>
      <c r="BK19" s="11">
        <f> BJ19+預測IC!BK19</f>
        <v/>
      </c>
      <c r="BL19" s="11">
        <f> BK19+預測IC!BL19</f>
        <v/>
      </c>
      <c r="BM19" s="11">
        <f> BL19+預測IC!BM19</f>
        <v/>
      </c>
      <c r="BN19" s="11">
        <f> BM19+預測IC!BN19</f>
        <v/>
      </c>
      <c r="BO19" s="11">
        <f> BN19+預測IC!BO19</f>
        <v/>
      </c>
      <c r="BP19" s="11">
        <f> BO19+預測IC!BP19</f>
        <v/>
      </c>
      <c r="BQ19" s="11">
        <f> BP19+預測IC!BQ19</f>
        <v/>
      </c>
      <c r="BR19" s="11">
        <f> BQ19+預測IC!BR19</f>
        <v/>
      </c>
      <c r="BS19" s="11">
        <f> BR19+預測IC!BS19</f>
        <v/>
      </c>
      <c r="BT19" s="11">
        <f> BS19+預測IC!BT19</f>
        <v/>
      </c>
      <c r="BU19" s="11">
        <f> BT19+預測IC!BU19</f>
        <v/>
      </c>
      <c r="BV19" s="11">
        <f> BU19+預測IC!BV19</f>
        <v/>
      </c>
      <c r="BW19" s="11">
        <f> BV19+預測IC!BW19</f>
        <v/>
      </c>
      <c r="BX19" s="11">
        <f> BW19+預測IC!BX19</f>
        <v/>
      </c>
      <c r="BY19" s="11">
        <f> BX19+預測IC!BY19</f>
        <v/>
      </c>
      <c r="BZ19" s="11">
        <f> BY19+預測IC!BZ19</f>
        <v/>
      </c>
      <c r="CA19" s="11">
        <f> BZ19+預測IC!CA19</f>
        <v/>
      </c>
      <c r="CB19" s="11">
        <f> CA19+預測IC!CB19</f>
        <v/>
      </c>
      <c r="CC19" s="11">
        <f> CB19+預測IC!CC19</f>
        <v/>
      </c>
      <c r="CD19" s="11">
        <f> CC19+預測IC!CD19</f>
        <v/>
      </c>
      <c r="CE19" s="11">
        <f> CD19+預測IC!CE19</f>
        <v/>
      </c>
      <c r="CF19" s="11">
        <f> CE19+預測IC!CF19</f>
        <v/>
      </c>
      <c r="CG19" s="11">
        <f> CF19+預測IC!CG19</f>
        <v/>
      </c>
      <c r="CH19" s="11">
        <f> CG19+預測IC!CH19</f>
        <v/>
      </c>
      <c r="CI19" s="11">
        <f> CH19+預測IC!CI19</f>
        <v/>
      </c>
      <c r="CJ19" s="11">
        <f> CI19+預測IC!CJ19</f>
        <v/>
      </c>
      <c r="CK19" s="11">
        <f> CJ19+預測IC!CK19</f>
        <v/>
      </c>
      <c r="CL19" s="11">
        <f> CK19+預測IC!CL19</f>
        <v/>
      </c>
      <c r="CM19" s="11">
        <f> CL19+預測IC!CM19</f>
        <v/>
      </c>
      <c r="CN19" s="11">
        <f> CM19+預測IC!CN19</f>
        <v/>
      </c>
      <c r="CO19" s="11">
        <f> CN19+預測IC!CO19</f>
        <v/>
      </c>
      <c r="CP19" s="11">
        <f> CO19+預測IC!CP19</f>
        <v/>
      </c>
      <c r="CQ19" s="11">
        <f> CP19+預測IC!CQ19</f>
        <v/>
      </c>
      <c r="CR19" s="11">
        <f> CQ19+預測IC!CR19</f>
        <v/>
      </c>
      <c r="CS19" s="11">
        <f> CR19+預測IC!CS19</f>
        <v/>
      </c>
      <c r="CT19" s="11">
        <f> CS19+預測IC!CT19</f>
        <v/>
      </c>
      <c r="CU19" s="11">
        <f> CT19+預測IC!CU19</f>
        <v/>
      </c>
      <c r="CV19" s="11">
        <f> CU19+預測IC!CV19</f>
        <v/>
      </c>
      <c r="CW19" s="11">
        <f> CV19+預測IC!CW19</f>
        <v/>
      </c>
      <c r="CX19" s="11">
        <f> CW19+預測IC!CX19</f>
        <v/>
      </c>
      <c r="CY19" s="11">
        <f> CX19+預測IC!CY19</f>
        <v/>
      </c>
      <c r="CZ19" s="11">
        <f> CY19+預測IC!CZ19</f>
        <v/>
      </c>
      <c r="DA19" s="11">
        <f> CZ19+預測IC!DA19</f>
        <v/>
      </c>
      <c r="DB19" s="11">
        <f> DA19+預測IC!DB19</f>
        <v/>
      </c>
      <c r="DC19" s="11">
        <f> DB19+預測IC!DC19</f>
        <v/>
      </c>
      <c r="DD19" s="11">
        <f> DC19+預測IC!DD19</f>
        <v/>
      </c>
      <c r="DE19" s="11">
        <f> DD19+預測IC!DE19</f>
        <v/>
      </c>
      <c r="DF19" s="11">
        <f> DE19+預測IC!DF19</f>
        <v/>
      </c>
      <c r="DG19" s="11">
        <f> DF19+預測IC!DG19</f>
        <v/>
      </c>
      <c r="DH19" s="11">
        <f> DG19+預測IC!DH19</f>
        <v/>
      </c>
      <c r="DI19" s="11">
        <f> DH19+預測IC!DI19</f>
        <v/>
      </c>
      <c r="DJ19" s="11">
        <f> DI19+預測IC!DJ19</f>
        <v/>
      </c>
      <c r="DK19" s="11">
        <f> DJ19+預測IC!DK19</f>
        <v/>
      </c>
      <c r="DL19" s="11">
        <f> DK19+預測IC!DL19</f>
        <v/>
      </c>
      <c r="DM19" s="11">
        <f> DL19+預測IC!DM19</f>
        <v/>
      </c>
      <c r="DN19" s="11">
        <f> DM19+預測IC!DN19</f>
        <v/>
      </c>
      <c r="DO19" s="11">
        <f> DN19+預測IC!DO19</f>
        <v/>
      </c>
      <c r="DP19" s="11">
        <f> DO19+預測IC!DP19</f>
        <v/>
      </c>
      <c r="DQ19" s="11">
        <f> DP19+預測IC!DQ19</f>
        <v/>
      </c>
      <c r="DR19" s="11">
        <f> DQ19+預測IC!DR19</f>
        <v/>
      </c>
      <c r="DS19" s="11">
        <f> DR19+預測IC!DS19</f>
        <v/>
      </c>
      <c r="DT19" s="11">
        <f> DS19+預測IC!DT19</f>
        <v/>
      </c>
      <c r="DU19" s="11">
        <f> DT19+預測IC!DU19</f>
        <v/>
      </c>
      <c r="DV19" s="11">
        <f> DU19+預測IC!DV19</f>
        <v/>
      </c>
      <c r="DW19" s="11">
        <f> DV19+預測IC!DW19</f>
        <v/>
      </c>
      <c r="DX19" s="11">
        <f> DW19+預測IC!DX19</f>
        <v/>
      </c>
      <c r="DY19" s="11">
        <f> DX19+預測IC!DY19</f>
        <v/>
      </c>
      <c r="DZ19" s="11">
        <f> DY19+預測IC!DZ19</f>
        <v/>
      </c>
      <c r="EA19" s="11">
        <f> DZ19+預測IC!EA19</f>
        <v/>
      </c>
      <c r="EB19" s="11">
        <f> EA19+預測IC!EB19</f>
        <v/>
      </c>
      <c r="EC19" s="11">
        <f> EB19+預測IC!EC19</f>
        <v/>
      </c>
      <c r="ED19" s="11">
        <f> EC19+預測IC!ED19</f>
        <v/>
      </c>
      <c r="EE19" s="11">
        <f> ED19+預測IC!EE19</f>
        <v/>
      </c>
      <c r="EF19" s="11">
        <f> EE19+預測IC!EF19</f>
        <v/>
      </c>
    </row>
    <row r="20" ht="16.2" customFormat="1" customHeight="1" s="8" thickBot="1">
      <c r="A20" s="50" t="n">
        <v>192</v>
      </c>
      <c r="B20" s="50" t="n">
        <v>5</v>
      </c>
      <c r="C20" s="11" t="n">
        <v>0.20155105</v>
      </c>
      <c r="D20" s="11">
        <f> C20+預測IC!D20</f>
        <v/>
      </c>
      <c r="E20" s="11">
        <f> D20+預測IC!E20</f>
        <v/>
      </c>
      <c r="F20" s="11">
        <f> E20+預測IC!F20</f>
        <v/>
      </c>
      <c r="G20" s="11">
        <f> F20+預測IC!G20</f>
        <v/>
      </c>
      <c r="H20" s="11">
        <f> G20+預測IC!H20</f>
        <v/>
      </c>
      <c r="I20" s="11">
        <f> H20+預測IC!I20</f>
        <v/>
      </c>
      <c r="J20" s="11">
        <f> I20+預測IC!J20</f>
        <v/>
      </c>
      <c r="K20" s="11">
        <f> J20+預測IC!K20</f>
        <v/>
      </c>
      <c r="L20" s="11">
        <f> K20+預測IC!L20</f>
        <v/>
      </c>
      <c r="M20" s="11">
        <f> L20+預測IC!M20</f>
        <v/>
      </c>
      <c r="N20" s="11">
        <f> M20+預測IC!N20</f>
        <v/>
      </c>
      <c r="O20" s="11">
        <f> N20+預測IC!O20</f>
        <v/>
      </c>
      <c r="P20" s="11">
        <f> O20+預測IC!P20</f>
        <v/>
      </c>
      <c r="Q20" s="11">
        <f> P20+預測IC!Q20</f>
        <v/>
      </c>
      <c r="R20" s="11">
        <f> Q20+預測IC!R20</f>
        <v/>
      </c>
      <c r="S20" s="11">
        <f> R20+預測IC!S20</f>
        <v/>
      </c>
      <c r="T20" s="11">
        <f> S20+預測IC!T20</f>
        <v/>
      </c>
      <c r="U20" s="11">
        <f> T20+預測IC!U20</f>
        <v/>
      </c>
      <c r="V20" s="11">
        <f> U20+預測IC!V20</f>
        <v/>
      </c>
      <c r="W20" s="11">
        <f> V20+預測IC!W20</f>
        <v/>
      </c>
      <c r="X20" s="11">
        <f> W20+預測IC!X20</f>
        <v/>
      </c>
      <c r="Y20" s="11">
        <f> X20+預測IC!Y20</f>
        <v/>
      </c>
      <c r="Z20" s="11">
        <f> Y20+預測IC!Z20</f>
        <v/>
      </c>
      <c r="AA20" s="11">
        <f> Z20+預測IC!AA20</f>
        <v/>
      </c>
      <c r="AB20" s="11">
        <f> AA20+預測IC!AB20</f>
        <v/>
      </c>
      <c r="AC20" s="11">
        <f> AB20+預測IC!AC20</f>
        <v/>
      </c>
      <c r="AD20" s="11">
        <f> AC20+預測IC!AD20</f>
        <v/>
      </c>
      <c r="AE20" s="11">
        <f> AD20+預測IC!AE20</f>
        <v/>
      </c>
      <c r="AF20" s="11">
        <f> AE20+預測IC!AF20</f>
        <v/>
      </c>
      <c r="AG20" s="11">
        <f> AF20+預測IC!AG20</f>
        <v/>
      </c>
      <c r="AH20" s="11">
        <f> AG20+預測IC!AH20</f>
        <v/>
      </c>
      <c r="AI20" s="11">
        <f> AH20+預測IC!AI20</f>
        <v/>
      </c>
      <c r="AJ20" s="11">
        <f> AI20+預測IC!AJ20</f>
        <v/>
      </c>
      <c r="AK20" s="11">
        <f> AJ20+預測IC!AK20</f>
        <v/>
      </c>
      <c r="AL20" s="11">
        <f> AK20+預測IC!AL20</f>
        <v/>
      </c>
      <c r="AM20" s="11">
        <f> AL20+預測IC!AM20</f>
        <v/>
      </c>
      <c r="AN20" s="11">
        <f> AM20+預測IC!AN20</f>
        <v/>
      </c>
      <c r="AO20" s="11">
        <f> AN20+預測IC!AO20</f>
        <v/>
      </c>
      <c r="AP20" s="11">
        <f> AO20+預測IC!AP20</f>
        <v/>
      </c>
      <c r="AQ20" s="11">
        <f> AP20+預測IC!AQ20</f>
        <v/>
      </c>
      <c r="AR20" s="11">
        <f> AQ20+預測IC!AR20</f>
        <v/>
      </c>
      <c r="AS20" s="11">
        <f> AR20+預測IC!AS20</f>
        <v/>
      </c>
      <c r="AT20" s="11">
        <f> AS20+預測IC!AT20</f>
        <v/>
      </c>
      <c r="AU20" s="11">
        <f> AT20+預測IC!AU20</f>
        <v/>
      </c>
      <c r="AV20" s="11">
        <f> AU20+預測IC!AV20</f>
        <v/>
      </c>
      <c r="AW20" s="11">
        <f> AV20+預測IC!AW20</f>
        <v/>
      </c>
      <c r="AX20" s="11">
        <f> AW20+預測IC!AX20</f>
        <v/>
      </c>
      <c r="AY20" s="11">
        <f> AX20+預測IC!AY20</f>
        <v/>
      </c>
      <c r="AZ20" s="11">
        <f> AY20+預測IC!AZ20</f>
        <v/>
      </c>
      <c r="BA20" s="11">
        <f> AZ20+預測IC!BA20</f>
        <v/>
      </c>
      <c r="BB20" s="11">
        <f> BA20+預測IC!BB20</f>
        <v/>
      </c>
      <c r="BC20" s="11">
        <f> BB20+預測IC!BC20</f>
        <v/>
      </c>
      <c r="BD20" s="11">
        <f> BC20+預測IC!BD20</f>
        <v/>
      </c>
      <c r="BE20" s="11">
        <f> BD20+預測IC!BE20</f>
        <v/>
      </c>
      <c r="BF20" s="11">
        <f> BE20+預測IC!BF20</f>
        <v/>
      </c>
      <c r="BG20" s="11">
        <f> BF20+預測IC!BG20</f>
        <v/>
      </c>
      <c r="BH20" s="11">
        <f> BG20+預測IC!BH20</f>
        <v/>
      </c>
      <c r="BI20" s="11">
        <f> BH20+預測IC!BI20</f>
        <v/>
      </c>
      <c r="BJ20" s="11">
        <f> BI20+預測IC!BJ20</f>
        <v/>
      </c>
      <c r="BK20" s="11">
        <f> BJ20+預測IC!BK20</f>
        <v/>
      </c>
      <c r="BL20" s="11">
        <f> BK20+預測IC!BL20</f>
        <v/>
      </c>
      <c r="BM20" s="11">
        <f> BL20+預測IC!BM20</f>
        <v/>
      </c>
      <c r="BN20" s="11">
        <f> BM20+預測IC!BN20</f>
        <v/>
      </c>
      <c r="BO20" s="11">
        <f> BN20+預測IC!BO20</f>
        <v/>
      </c>
      <c r="BP20" s="11">
        <f> BO20+預測IC!BP20</f>
        <v/>
      </c>
      <c r="BQ20" s="11">
        <f> BP20+預測IC!BQ20</f>
        <v/>
      </c>
      <c r="BR20" s="11">
        <f> BQ20+預測IC!BR20</f>
        <v/>
      </c>
      <c r="BS20" s="11">
        <f> BR20+預測IC!BS20</f>
        <v/>
      </c>
      <c r="BT20" s="11">
        <f> BS20+預測IC!BT20</f>
        <v/>
      </c>
      <c r="BU20" s="11">
        <f> BT20+預測IC!BU20</f>
        <v/>
      </c>
      <c r="BV20" s="11">
        <f> BU20+預測IC!BV20</f>
        <v/>
      </c>
      <c r="BW20" s="11">
        <f> BV20+預測IC!BW20</f>
        <v/>
      </c>
      <c r="BX20" s="11">
        <f> BW20+預測IC!BX20</f>
        <v/>
      </c>
      <c r="BY20" s="11">
        <f> BX20+預測IC!BY20</f>
        <v/>
      </c>
      <c r="BZ20" s="11">
        <f> BY20+預測IC!BZ20</f>
        <v/>
      </c>
      <c r="CA20" s="11">
        <f> BZ20+預測IC!CA20</f>
        <v/>
      </c>
      <c r="CB20" s="11">
        <f> CA20+預測IC!CB20</f>
        <v/>
      </c>
      <c r="CC20" s="11">
        <f> CB20+預測IC!CC20</f>
        <v/>
      </c>
      <c r="CD20" s="11">
        <f> CC20+預測IC!CD20</f>
        <v/>
      </c>
      <c r="CE20" s="11">
        <f> CD20+預測IC!CE20</f>
        <v/>
      </c>
      <c r="CF20" s="11">
        <f> CE20+預測IC!CF20</f>
        <v/>
      </c>
      <c r="CG20" s="11">
        <f> CF20+預測IC!CG20</f>
        <v/>
      </c>
      <c r="CH20" s="11">
        <f> CG20+預測IC!CH20</f>
        <v/>
      </c>
      <c r="CI20" s="11">
        <f> CH20+預測IC!CI20</f>
        <v/>
      </c>
      <c r="CJ20" s="11">
        <f> CI20+預測IC!CJ20</f>
        <v/>
      </c>
      <c r="CK20" s="11">
        <f> CJ20+預測IC!CK20</f>
        <v/>
      </c>
      <c r="CL20" s="11">
        <f> CK20+預測IC!CL20</f>
        <v/>
      </c>
      <c r="CM20" s="11">
        <f> CL20+預測IC!CM20</f>
        <v/>
      </c>
      <c r="CN20" s="11">
        <f> CM20+預測IC!CN20</f>
        <v/>
      </c>
      <c r="CO20" s="11">
        <f> CN20+預測IC!CO20</f>
        <v/>
      </c>
      <c r="CP20" s="11">
        <f> CO20+預測IC!CP20</f>
        <v/>
      </c>
      <c r="CQ20" s="11">
        <f> CP20+預測IC!CQ20</f>
        <v/>
      </c>
      <c r="CR20" s="11">
        <f> CQ20+預測IC!CR20</f>
        <v/>
      </c>
      <c r="CS20" s="11">
        <f> CR20+預測IC!CS20</f>
        <v/>
      </c>
      <c r="CT20" s="11">
        <f> CS20+預測IC!CT20</f>
        <v/>
      </c>
      <c r="CU20" s="11">
        <f> CT20+預測IC!CU20</f>
        <v/>
      </c>
      <c r="CV20" s="11">
        <f> CU20+預測IC!CV20</f>
        <v/>
      </c>
      <c r="CW20" s="11">
        <f> CV20+預測IC!CW20</f>
        <v/>
      </c>
      <c r="CX20" s="11">
        <f> CW20+預測IC!CX20</f>
        <v/>
      </c>
      <c r="CY20" s="11">
        <f> CX20+預測IC!CY20</f>
        <v/>
      </c>
      <c r="CZ20" s="11">
        <f> CY20+預測IC!CZ20</f>
        <v/>
      </c>
      <c r="DA20" s="11">
        <f> CZ20+預測IC!DA20</f>
        <v/>
      </c>
      <c r="DB20" s="11">
        <f> DA20+預測IC!DB20</f>
        <v/>
      </c>
      <c r="DC20" s="11">
        <f> DB20+預測IC!DC20</f>
        <v/>
      </c>
      <c r="DD20" s="11">
        <f> DC20+預測IC!DD20</f>
        <v/>
      </c>
      <c r="DE20" s="11">
        <f> DD20+預測IC!DE20</f>
        <v/>
      </c>
      <c r="DF20" s="11">
        <f> DE20+預測IC!DF20</f>
        <v/>
      </c>
      <c r="DG20" s="11">
        <f> DF20+預測IC!DG20</f>
        <v/>
      </c>
      <c r="DH20" s="11">
        <f> DG20+預測IC!DH20</f>
        <v/>
      </c>
      <c r="DI20" s="11">
        <f> DH20+預測IC!DI20</f>
        <v/>
      </c>
      <c r="DJ20" s="11">
        <f> DI20+預測IC!DJ20</f>
        <v/>
      </c>
      <c r="DK20" s="11">
        <f> DJ20+預測IC!DK20</f>
        <v/>
      </c>
      <c r="DL20" s="11">
        <f> DK20+預測IC!DL20</f>
        <v/>
      </c>
      <c r="DM20" s="11">
        <f> DL20+預測IC!DM20</f>
        <v/>
      </c>
      <c r="DN20" s="11">
        <f> DM20+預測IC!DN20</f>
        <v/>
      </c>
      <c r="DO20" s="11">
        <f> DN20+預測IC!DO20</f>
        <v/>
      </c>
      <c r="DP20" s="11">
        <f> DO20+預測IC!DP20</f>
        <v/>
      </c>
      <c r="DQ20" s="11">
        <f> DP20+預測IC!DQ20</f>
        <v/>
      </c>
      <c r="DR20" s="11">
        <f> DQ20+預測IC!DR20</f>
        <v/>
      </c>
      <c r="DS20" s="11">
        <f> DR20+預測IC!DS20</f>
        <v/>
      </c>
      <c r="DT20" s="11">
        <f> DS20+預測IC!DT20</f>
        <v/>
      </c>
      <c r="DU20" s="11">
        <f> DT20+預測IC!DU20</f>
        <v/>
      </c>
      <c r="DV20" s="11">
        <f> DU20+預測IC!DV20</f>
        <v/>
      </c>
      <c r="DW20" s="11">
        <f> DV20+預測IC!DW20</f>
        <v/>
      </c>
      <c r="DX20" s="11">
        <f> DW20+預測IC!DX20</f>
        <v/>
      </c>
      <c r="DY20" s="11">
        <f> DX20+預測IC!DY20</f>
        <v/>
      </c>
      <c r="DZ20" s="11">
        <f> DY20+預測IC!DZ20</f>
        <v/>
      </c>
      <c r="EA20" s="11">
        <f> DZ20+預測IC!EA20</f>
        <v/>
      </c>
      <c r="EB20" s="11">
        <f> EA20+預測IC!EB20</f>
        <v/>
      </c>
      <c r="EC20" s="11">
        <f> EB20+預測IC!EC20</f>
        <v/>
      </c>
      <c r="ED20" s="11">
        <f> EC20+預測IC!ED20</f>
        <v/>
      </c>
      <c r="EE20" s="11">
        <f> ED20+預測IC!EE20</f>
        <v/>
      </c>
      <c r="EF20" s="11">
        <f> EE20+預測IC!EF20</f>
        <v/>
      </c>
    </row>
    <row r="21" ht="16.2" customFormat="1" customHeight="1" s="8" thickBot="1">
      <c r="A21" s="50" t="n">
        <v>241</v>
      </c>
      <c r="B21" s="50" t="n">
        <v>4</v>
      </c>
      <c r="C21" s="11" t="n">
        <v>0.21462958</v>
      </c>
      <c r="D21" s="11">
        <f> C21+預測IC!D21</f>
        <v/>
      </c>
      <c r="E21" s="11">
        <f> D21+預測IC!E21</f>
        <v/>
      </c>
      <c r="F21" s="11">
        <f> E21+預測IC!F21</f>
        <v/>
      </c>
      <c r="G21" s="11">
        <f> F21+預測IC!G21</f>
        <v/>
      </c>
      <c r="H21" s="11">
        <f> G21+預測IC!H21</f>
        <v/>
      </c>
      <c r="I21" s="11">
        <f> H21+預測IC!I21</f>
        <v/>
      </c>
      <c r="J21" s="11">
        <f> I21+預測IC!J21</f>
        <v/>
      </c>
      <c r="K21" s="11">
        <f> J21+預測IC!K21</f>
        <v/>
      </c>
      <c r="L21" s="11">
        <f> K21+預測IC!L21</f>
        <v/>
      </c>
      <c r="M21" s="11">
        <f> L21+預測IC!M21</f>
        <v/>
      </c>
      <c r="N21" s="11">
        <f> M21+預測IC!N21</f>
        <v/>
      </c>
      <c r="O21" s="11">
        <f> N21+預測IC!O21</f>
        <v/>
      </c>
      <c r="P21" s="11">
        <f> O21+預測IC!P21</f>
        <v/>
      </c>
      <c r="Q21" s="11">
        <f> P21+預測IC!Q21</f>
        <v/>
      </c>
      <c r="R21" s="11">
        <f> Q21+預測IC!R21</f>
        <v/>
      </c>
      <c r="S21" s="11">
        <f> R21+預測IC!S21</f>
        <v/>
      </c>
      <c r="T21" s="11">
        <f> S21+預測IC!T21</f>
        <v/>
      </c>
      <c r="U21" s="11">
        <f> T21+預測IC!U21</f>
        <v/>
      </c>
      <c r="V21" s="11">
        <f> U21+預測IC!V21</f>
        <v/>
      </c>
      <c r="W21" s="11">
        <f> V21+預測IC!W21</f>
        <v/>
      </c>
      <c r="X21" s="11">
        <f> W21+預測IC!X21</f>
        <v/>
      </c>
      <c r="Y21" s="11">
        <f> X21+預測IC!Y21</f>
        <v/>
      </c>
      <c r="Z21" s="11">
        <f> Y21+預測IC!Z21</f>
        <v/>
      </c>
      <c r="AA21" s="11">
        <f> Z21+預測IC!AA21</f>
        <v/>
      </c>
      <c r="AB21" s="11">
        <f> AA21+預測IC!AB21</f>
        <v/>
      </c>
      <c r="AC21" s="11">
        <f> AB21+預測IC!AC21</f>
        <v/>
      </c>
      <c r="AD21" s="11">
        <f> AC21+預測IC!AD21</f>
        <v/>
      </c>
      <c r="AE21" s="11">
        <f> AD21+預測IC!AE21</f>
        <v/>
      </c>
      <c r="AF21" s="11">
        <f> AE21+預測IC!AF21</f>
        <v/>
      </c>
      <c r="AG21" s="11">
        <f> AF21+預測IC!AG21</f>
        <v/>
      </c>
      <c r="AH21" s="11">
        <f> AG21+預測IC!AH21</f>
        <v/>
      </c>
      <c r="AI21" s="11">
        <f> AH21+預測IC!AI21</f>
        <v/>
      </c>
      <c r="AJ21" s="11">
        <f> AI21+預測IC!AJ21</f>
        <v/>
      </c>
      <c r="AK21" s="11">
        <f> AJ21+預測IC!AK21</f>
        <v/>
      </c>
      <c r="AL21" s="11">
        <f> AK21+預測IC!AL21</f>
        <v/>
      </c>
      <c r="AM21" s="11">
        <f> AL21+預測IC!AM21</f>
        <v/>
      </c>
      <c r="AN21" s="11">
        <f> AM21+預測IC!AN21</f>
        <v/>
      </c>
      <c r="AO21" s="11">
        <f> AN21+預測IC!AO21</f>
        <v/>
      </c>
      <c r="AP21" s="11">
        <f> AO21+預測IC!AP21</f>
        <v/>
      </c>
      <c r="AQ21" s="11">
        <f> AP21+預測IC!AQ21</f>
        <v/>
      </c>
      <c r="AR21" s="11">
        <f> AQ21+預測IC!AR21</f>
        <v/>
      </c>
      <c r="AS21" s="11">
        <f> AR21+預測IC!AS21</f>
        <v/>
      </c>
      <c r="AT21" s="11">
        <f> AS21+預測IC!AT21</f>
        <v/>
      </c>
      <c r="AU21" s="11">
        <f> AT21+預測IC!AU21</f>
        <v/>
      </c>
      <c r="AV21" s="11">
        <f> AU21+預測IC!AV21</f>
        <v/>
      </c>
      <c r="AW21" s="11">
        <f> AV21+預測IC!AW21</f>
        <v/>
      </c>
      <c r="AX21" s="11">
        <f> AW21+預測IC!AX21</f>
        <v/>
      </c>
      <c r="AY21" s="11">
        <f> AX21+預測IC!AY21</f>
        <v/>
      </c>
      <c r="AZ21" s="11">
        <f> AY21+預測IC!AZ21</f>
        <v/>
      </c>
      <c r="BA21" s="11">
        <f> AZ21+預測IC!BA21</f>
        <v/>
      </c>
      <c r="BB21" s="11">
        <f> BA21+預測IC!BB21</f>
        <v/>
      </c>
      <c r="BC21" s="11">
        <f> BB21+預測IC!BC21</f>
        <v/>
      </c>
      <c r="BD21" s="11">
        <f> BC21+預測IC!BD21</f>
        <v/>
      </c>
      <c r="BE21" s="11">
        <f> BD21+預測IC!BE21</f>
        <v/>
      </c>
      <c r="BF21" s="11">
        <f> BE21+預測IC!BF21</f>
        <v/>
      </c>
      <c r="BG21" s="11">
        <f> BF21+預測IC!BG21</f>
        <v/>
      </c>
      <c r="BH21" s="11">
        <f> BG21+預測IC!BH21</f>
        <v/>
      </c>
      <c r="BI21" s="11">
        <f> BH21+預測IC!BI21</f>
        <v/>
      </c>
      <c r="BJ21" s="11">
        <f> BI21+預測IC!BJ21</f>
        <v/>
      </c>
      <c r="BK21" s="11">
        <f> BJ21+預測IC!BK21</f>
        <v/>
      </c>
      <c r="BL21" s="11">
        <f> BK21+預測IC!BL21</f>
        <v/>
      </c>
      <c r="BM21" s="11">
        <f> BL21+預測IC!BM21</f>
        <v/>
      </c>
      <c r="BN21" s="11">
        <f> BM21+預測IC!BN21</f>
        <v/>
      </c>
      <c r="BO21" s="11">
        <f> BN21+預測IC!BO21</f>
        <v/>
      </c>
      <c r="BP21" s="11">
        <f> BO21+預測IC!BP21</f>
        <v/>
      </c>
      <c r="BQ21" s="11">
        <f> BP21+預測IC!BQ21</f>
        <v/>
      </c>
      <c r="BR21" s="11">
        <f> BQ21+預測IC!BR21</f>
        <v/>
      </c>
      <c r="BS21" s="11">
        <f> BR21+預測IC!BS21</f>
        <v/>
      </c>
      <c r="BT21" s="11">
        <f> BS21+預測IC!BT21</f>
        <v/>
      </c>
      <c r="BU21" s="11">
        <f> BT21+預測IC!BU21</f>
        <v/>
      </c>
      <c r="BV21" s="11">
        <f> BU21+預測IC!BV21</f>
        <v/>
      </c>
      <c r="BW21" s="11">
        <f> BV21+預測IC!BW21</f>
        <v/>
      </c>
      <c r="BX21" s="11">
        <f> BW21+預測IC!BX21</f>
        <v/>
      </c>
      <c r="BY21" s="11">
        <f> BX21+預測IC!BY21</f>
        <v/>
      </c>
      <c r="BZ21" s="11">
        <f> BY21+預測IC!BZ21</f>
        <v/>
      </c>
      <c r="CA21" s="11">
        <f> BZ21+預測IC!CA21</f>
        <v/>
      </c>
      <c r="CB21" s="11">
        <f> CA21+預測IC!CB21</f>
        <v/>
      </c>
      <c r="CC21" s="11">
        <f> CB21+預測IC!CC21</f>
        <v/>
      </c>
      <c r="CD21" s="11">
        <f> CC21+預測IC!CD21</f>
        <v/>
      </c>
      <c r="CE21" s="11">
        <f> CD21+預測IC!CE21</f>
        <v/>
      </c>
      <c r="CF21" s="11">
        <f> CE21+預測IC!CF21</f>
        <v/>
      </c>
      <c r="CG21" s="11">
        <f> CF21+預測IC!CG21</f>
        <v/>
      </c>
      <c r="CH21" s="11">
        <f> CG21+預測IC!CH21</f>
        <v/>
      </c>
      <c r="CI21" s="11">
        <f> CH21+預測IC!CI21</f>
        <v/>
      </c>
      <c r="CJ21" s="11">
        <f> CI21+預測IC!CJ21</f>
        <v/>
      </c>
      <c r="CK21" s="11">
        <f> CJ21+預測IC!CK21</f>
        <v/>
      </c>
      <c r="CL21" s="11">
        <f> CK21+預測IC!CL21</f>
        <v/>
      </c>
      <c r="CM21" s="11">
        <f> CL21+預測IC!CM21</f>
        <v/>
      </c>
      <c r="CN21" s="11">
        <f> CM21+預測IC!CN21</f>
        <v/>
      </c>
      <c r="CO21" s="11">
        <f> CN21+預測IC!CO21</f>
        <v/>
      </c>
      <c r="CP21" s="11">
        <f> CO21+預測IC!CP21</f>
        <v/>
      </c>
      <c r="CQ21" s="11">
        <f> CP21+預測IC!CQ21</f>
        <v/>
      </c>
      <c r="CR21" s="11">
        <f> CQ21+預測IC!CR21</f>
        <v/>
      </c>
      <c r="CS21" s="11">
        <f> CR21+預測IC!CS21</f>
        <v/>
      </c>
      <c r="CT21" s="11">
        <f> CS21+預測IC!CT21</f>
        <v/>
      </c>
      <c r="CU21" s="11">
        <f> CT21+預測IC!CU21</f>
        <v/>
      </c>
      <c r="CV21" s="11">
        <f> CU21+預測IC!CV21</f>
        <v/>
      </c>
      <c r="CW21" s="11">
        <f> CV21+預測IC!CW21</f>
        <v/>
      </c>
      <c r="CX21" s="11">
        <f> CW21+預測IC!CX21</f>
        <v/>
      </c>
      <c r="CY21" s="11">
        <f> CX21+預測IC!CY21</f>
        <v/>
      </c>
      <c r="CZ21" s="11">
        <f> CY21+預測IC!CZ21</f>
        <v/>
      </c>
      <c r="DA21" s="11">
        <f> CZ21+預測IC!DA21</f>
        <v/>
      </c>
      <c r="DB21" s="11">
        <f> DA21+預測IC!DB21</f>
        <v/>
      </c>
      <c r="DC21" s="11">
        <f> DB21+預測IC!DC21</f>
        <v/>
      </c>
      <c r="DD21" s="11">
        <f> DC21+預測IC!DD21</f>
        <v/>
      </c>
      <c r="DE21" s="11">
        <f> DD21+預測IC!DE21</f>
        <v/>
      </c>
      <c r="DF21" s="11">
        <f> DE21+預測IC!DF21</f>
        <v/>
      </c>
      <c r="DG21" s="11">
        <f> DF21+預測IC!DG21</f>
        <v/>
      </c>
      <c r="DH21" s="11">
        <f> DG21+預測IC!DH21</f>
        <v/>
      </c>
      <c r="DI21" s="11">
        <f> DH21+預測IC!DI21</f>
        <v/>
      </c>
      <c r="DJ21" s="11">
        <f> DI21+預測IC!DJ21</f>
        <v/>
      </c>
      <c r="DK21" s="11">
        <f> DJ21+預測IC!DK21</f>
        <v/>
      </c>
      <c r="DL21" s="11">
        <f> DK21+預測IC!DL21</f>
        <v/>
      </c>
      <c r="DM21" s="11">
        <f> DL21+預測IC!DM21</f>
        <v/>
      </c>
      <c r="DN21" s="11">
        <f> DM21+預測IC!DN21</f>
        <v/>
      </c>
      <c r="DO21" s="11">
        <f> DN21+預測IC!DO21</f>
        <v/>
      </c>
      <c r="DP21" s="11">
        <f> DO21+預測IC!DP21</f>
        <v/>
      </c>
      <c r="DQ21" s="11">
        <f> DP21+預測IC!DQ21</f>
        <v/>
      </c>
      <c r="DR21" s="11">
        <f> DQ21+預測IC!DR21</f>
        <v/>
      </c>
      <c r="DS21" s="11">
        <f> DR21+預測IC!DS21</f>
        <v/>
      </c>
      <c r="DT21" s="11">
        <f> DS21+預測IC!DT21</f>
        <v/>
      </c>
      <c r="DU21" s="11">
        <f> DT21+預測IC!DU21</f>
        <v/>
      </c>
      <c r="DV21" s="11">
        <f> DU21+預測IC!DV21</f>
        <v/>
      </c>
      <c r="DW21" s="11">
        <f> DV21+預測IC!DW21</f>
        <v/>
      </c>
      <c r="DX21" s="11">
        <f> DW21+預測IC!DX21</f>
        <v/>
      </c>
      <c r="DY21" s="11">
        <f> DX21+預測IC!DY21</f>
        <v/>
      </c>
      <c r="DZ21" s="11">
        <f> DY21+預測IC!DZ21</f>
        <v/>
      </c>
      <c r="EA21" s="11">
        <f> DZ21+預測IC!EA21</f>
        <v/>
      </c>
      <c r="EB21" s="11">
        <f> EA21+預測IC!EB21</f>
        <v/>
      </c>
      <c r="EC21" s="11">
        <f> EB21+預測IC!EC21</f>
        <v/>
      </c>
      <c r="ED21" s="11">
        <f> EC21+預測IC!ED21</f>
        <v/>
      </c>
      <c r="EE21" s="11">
        <f> ED21+預測IC!EE21</f>
        <v/>
      </c>
      <c r="EF21" s="11">
        <f> EE21+預測IC!EF21</f>
        <v/>
      </c>
    </row>
    <row r="22" ht="16.2" customFormat="1" customHeight="1" s="8" thickBot="1">
      <c r="A22" s="50" t="n">
        <v>321</v>
      </c>
      <c r="B22" s="50" t="n">
        <v>3</v>
      </c>
      <c r="C22" s="11" t="n">
        <v>0.2052803</v>
      </c>
      <c r="D22" s="11">
        <f> C22+預測IC!D22</f>
        <v/>
      </c>
      <c r="E22" s="11">
        <f> D22+預測IC!E22</f>
        <v/>
      </c>
      <c r="F22" s="11">
        <f> E22+預測IC!F22</f>
        <v/>
      </c>
      <c r="G22" s="11">
        <f> F22+預測IC!G22</f>
        <v/>
      </c>
      <c r="H22" s="11">
        <f> G22+預測IC!H22</f>
        <v/>
      </c>
      <c r="I22" s="11">
        <f> H22+預測IC!I22</f>
        <v/>
      </c>
      <c r="J22" s="11">
        <f> I22+預測IC!J22</f>
        <v/>
      </c>
      <c r="K22" s="11">
        <f> J22+預測IC!K22</f>
        <v/>
      </c>
      <c r="L22" s="11">
        <f> K22+預測IC!L22</f>
        <v/>
      </c>
      <c r="M22" s="11">
        <f> L22+預測IC!M22</f>
        <v/>
      </c>
      <c r="N22" s="11">
        <f> M22+預測IC!N22</f>
        <v/>
      </c>
      <c r="O22" s="11">
        <f> N22+預測IC!O22</f>
        <v/>
      </c>
      <c r="P22" s="11">
        <f> O22+預測IC!P22</f>
        <v/>
      </c>
      <c r="Q22" s="11">
        <f> P22+預測IC!Q22</f>
        <v/>
      </c>
      <c r="R22" s="11">
        <f> Q22+預測IC!R22</f>
        <v/>
      </c>
      <c r="S22" s="11">
        <f> R22+預測IC!S22</f>
        <v/>
      </c>
      <c r="T22" s="11">
        <f> S22+預測IC!T22</f>
        <v/>
      </c>
      <c r="U22" s="11">
        <f> T22+預測IC!U22</f>
        <v/>
      </c>
      <c r="V22" s="11">
        <f> U22+預測IC!V22</f>
        <v/>
      </c>
      <c r="W22" s="11">
        <f> V22+預測IC!W22</f>
        <v/>
      </c>
      <c r="X22" s="11">
        <f> W22+預測IC!X22</f>
        <v/>
      </c>
      <c r="Y22" s="11">
        <f> X22+預測IC!Y22</f>
        <v/>
      </c>
      <c r="Z22" s="11">
        <f> Y22+預測IC!Z22</f>
        <v/>
      </c>
      <c r="AA22" s="11">
        <f> Z22+預測IC!AA22</f>
        <v/>
      </c>
      <c r="AB22" s="11">
        <f> AA22+預測IC!AB22</f>
        <v/>
      </c>
      <c r="AC22" s="11">
        <f> AB22+預測IC!AC22</f>
        <v/>
      </c>
      <c r="AD22" s="11">
        <f> AC22+預測IC!AD22</f>
        <v/>
      </c>
      <c r="AE22" s="11">
        <f> AD22+預測IC!AE22</f>
        <v/>
      </c>
      <c r="AF22" s="11">
        <f> AE22+預測IC!AF22</f>
        <v/>
      </c>
      <c r="AG22" s="11">
        <f> AF22+預測IC!AG22</f>
        <v/>
      </c>
      <c r="AH22" s="11">
        <f> AG22+預測IC!AH22</f>
        <v/>
      </c>
      <c r="AI22" s="11">
        <f> AH22+預測IC!AI22</f>
        <v/>
      </c>
      <c r="AJ22" s="11">
        <f> AI22+預測IC!AJ22</f>
        <v/>
      </c>
      <c r="AK22" s="11">
        <f> AJ22+預測IC!AK22</f>
        <v/>
      </c>
      <c r="AL22" s="11">
        <f> AK22+預測IC!AL22</f>
        <v/>
      </c>
      <c r="AM22" s="11">
        <f> AL22+預測IC!AM22</f>
        <v/>
      </c>
      <c r="AN22" s="11">
        <f> AM22+預測IC!AN22</f>
        <v/>
      </c>
      <c r="AO22" s="11">
        <f> AN22+預測IC!AO22</f>
        <v/>
      </c>
      <c r="AP22" s="11">
        <f> AO22+預測IC!AP22</f>
        <v/>
      </c>
      <c r="AQ22" s="11">
        <f> AP22+預測IC!AQ22</f>
        <v/>
      </c>
      <c r="AR22" s="11">
        <f> AQ22+預測IC!AR22</f>
        <v/>
      </c>
      <c r="AS22" s="11">
        <f> AR22+預測IC!AS22</f>
        <v/>
      </c>
      <c r="AT22" s="11">
        <f> AS22+預測IC!AT22</f>
        <v/>
      </c>
      <c r="AU22" s="11">
        <f> AT22+預測IC!AU22</f>
        <v/>
      </c>
      <c r="AV22" s="11">
        <f> AU22+預測IC!AV22</f>
        <v/>
      </c>
      <c r="AW22" s="11">
        <f> AV22+預測IC!AW22</f>
        <v/>
      </c>
      <c r="AX22" s="11">
        <f> AW22+預測IC!AX22</f>
        <v/>
      </c>
      <c r="AY22" s="11">
        <f> AX22+預測IC!AY22</f>
        <v/>
      </c>
      <c r="AZ22" s="11">
        <f> AY22+預測IC!AZ22</f>
        <v/>
      </c>
      <c r="BA22" s="11">
        <f> AZ22+預測IC!BA22</f>
        <v/>
      </c>
      <c r="BB22" s="11">
        <f> BA22+預測IC!BB22</f>
        <v/>
      </c>
      <c r="BC22" s="11">
        <f> BB22+預測IC!BC22</f>
        <v/>
      </c>
      <c r="BD22" s="11">
        <f> BC22+預測IC!BD22</f>
        <v/>
      </c>
      <c r="BE22" s="11">
        <f> BD22+預測IC!BE22</f>
        <v/>
      </c>
      <c r="BF22" s="11">
        <f> BE22+預測IC!BF22</f>
        <v/>
      </c>
      <c r="BG22" s="11">
        <f> BF22+預測IC!BG22</f>
        <v/>
      </c>
      <c r="BH22" s="11">
        <f> BG22+預測IC!BH22</f>
        <v/>
      </c>
      <c r="BI22" s="11">
        <f> BH22+預測IC!BI22</f>
        <v/>
      </c>
      <c r="BJ22" s="11">
        <f> BI22+預測IC!BJ22</f>
        <v/>
      </c>
      <c r="BK22" s="11">
        <f> BJ22+預測IC!BK22</f>
        <v/>
      </c>
      <c r="BL22" s="11">
        <f> BK22+預測IC!BL22</f>
        <v/>
      </c>
      <c r="BM22" s="11">
        <f> BL22+預測IC!BM22</f>
        <v/>
      </c>
      <c r="BN22" s="11">
        <f> BM22+預測IC!BN22</f>
        <v/>
      </c>
      <c r="BO22" s="11">
        <f> BN22+預測IC!BO22</f>
        <v/>
      </c>
      <c r="BP22" s="11">
        <f> BO22+預測IC!BP22</f>
        <v/>
      </c>
      <c r="BQ22" s="11">
        <f> BP22+預測IC!BQ22</f>
        <v/>
      </c>
      <c r="BR22" s="11">
        <f> BQ22+預測IC!BR22</f>
        <v/>
      </c>
      <c r="BS22" s="11">
        <f> BR22+預測IC!BS22</f>
        <v/>
      </c>
      <c r="BT22" s="11">
        <f> BS22+預測IC!BT22</f>
        <v/>
      </c>
      <c r="BU22" s="11">
        <f> BT22+預測IC!BU22</f>
        <v/>
      </c>
      <c r="BV22" s="11">
        <f> BU22+預測IC!BV22</f>
        <v/>
      </c>
      <c r="BW22" s="11">
        <f> BV22+預測IC!BW22</f>
        <v/>
      </c>
      <c r="BX22" s="11">
        <f> BW22+預測IC!BX22</f>
        <v/>
      </c>
      <c r="BY22" s="11">
        <f> BX22+預測IC!BY22</f>
        <v/>
      </c>
      <c r="BZ22" s="11">
        <f> BY22+預測IC!BZ22</f>
        <v/>
      </c>
      <c r="CA22" s="11">
        <f> BZ22+預測IC!CA22</f>
        <v/>
      </c>
      <c r="CB22" s="11">
        <f> CA22+預測IC!CB22</f>
        <v/>
      </c>
      <c r="CC22" s="11">
        <f> CB22+預測IC!CC22</f>
        <v/>
      </c>
      <c r="CD22" s="11">
        <f> CC22+預測IC!CD22</f>
        <v/>
      </c>
      <c r="CE22" s="11">
        <f> CD22+預測IC!CE22</f>
        <v/>
      </c>
      <c r="CF22" s="11">
        <f> CE22+預測IC!CF22</f>
        <v/>
      </c>
      <c r="CG22" s="11">
        <f> CF22+預測IC!CG22</f>
        <v/>
      </c>
      <c r="CH22" s="11">
        <f> CG22+預測IC!CH22</f>
        <v/>
      </c>
      <c r="CI22" s="11">
        <f> CH22+預測IC!CI22</f>
        <v/>
      </c>
      <c r="CJ22" s="11">
        <f> CI22+預測IC!CJ22</f>
        <v/>
      </c>
      <c r="CK22" s="11">
        <f> CJ22+預測IC!CK22</f>
        <v/>
      </c>
      <c r="CL22" s="11">
        <f> CK22+預測IC!CL22</f>
        <v/>
      </c>
      <c r="CM22" s="11">
        <f> CL22+預測IC!CM22</f>
        <v/>
      </c>
      <c r="CN22" s="11">
        <f> CM22+預測IC!CN22</f>
        <v/>
      </c>
      <c r="CO22" s="11">
        <f> CN22+預測IC!CO22</f>
        <v/>
      </c>
      <c r="CP22" s="11">
        <f> CO22+預測IC!CP22</f>
        <v/>
      </c>
      <c r="CQ22" s="11">
        <f> CP22+預測IC!CQ22</f>
        <v/>
      </c>
      <c r="CR22" s="11">
        <f> CQ22+預測IC!CR22</f>
        <v/>
      </c>
      <c r="CS22" s="11">
        <f> CR22+預測IC!CS22</f>
        <v/>
      </c>
      <c r="CT22" s="11">
        <f> CS22+預測IC!CT22</f>
        <v/>
      </c>
      <c r="CU22" s="11">
        <f> CT22+預測IC!CU22</f>
        <v/>
      </c>
      <c r="CV22" s="11">
        <f> CU22+預測IC!CV22</f>
        <v/>
      </c>
      <c r="CW22" s="11">
        <f> CV22+預測IC!CW22</f>
        <v/>
      </c>
      <c r="CX22" s="11">
        <f> CW22+預測IC!CX22</f>
        <v/>
      </c>
      <c r="CY22" s="11">
        <f> CX22+預測IC!CY22</f>
        <v/>
      </c>
      <c r="CZ22" s="11">
        <f> CY22+預測IC!CZ22</f>
        <v/>
      </c>
      <c r="DA22" s="11">
        <f> CZ22+預測IC!DA22</f>
        <v/>
      </c>
      <c r="DB22" s="11">
        <f> DA22+預測IC!DB22</f>
        <v/>
      </c>
      <c r="DC22" s="11">
        <f> DB22+預測IC!DC22</f>
        <v/>
      </c>
      <c r="DD22" s="11">
        <f> DC22+預測IC!DD22</f>
        <v/>
      </c>
      <c r="DE22" s="11">
        <f> DD22+預測IC!DE22</f>
        <v/>
      </c>
      <c r="DF22" s="11">
        <f> DE22+預測IC!DF22</f>
        <v/>
      </c>
      <c r="DG22" s="11">
        <f> DF22+預測IC!DG22</f>
        <v/>
      </c>
      <c r="DH22" s="11">
        <f> DG22+預測IC!DH22</f>
        <v/>
      </c>
      <c r="DI22" s="11">
        <f> DH22+預測IC!DI22</f>
        <v/>
      </c>
      <c r="DJ22" s="11">
        <f> DI22+預測IC!DJ22</f>
        <v/>
      </c>
      <c r="DK22" s="11">
        <f> DJ22+預測IC!DK22</f>
        <v/>
      </c>
      <c r="DL22" s="11">
        <f> DK22+預測IC!DL22</f>
        <v/>
      </c>
      <c r="DM22" s="11">
        <f> DL22+預測IC!DM22</f>
        <v/>
      </c>
      <c r="DN22" s="11">
        <f> DM22+預測IC!DN22</f>
        <v/>
      </c>
      <c r="DO22" s="11">
        <f> DN22+預測IC!DO22</f>
        <v/>
      </c>
      <c r="DP22" s="11">
        <f> DO22+預測IC!DP22</f>
        <v/>
      </c>
      <c r="DQ22" s="11">
        <f> DP22+預測IC!DQ22</f>
        <v/>
      </c>
      <c r="DR22" s="11">
        <f> DQ22+預測IC!DR22</f>
        <v/>
      </c>
      <c r="DS22" s="11">
        <f> DR22+預測IC!DS22</f>
        <v/>
      </c>
      <c r="DT22" s="11">
        <f> DS22+預測IC!DT22</f>
        <v/>
      </c>
      <c r="DU22" s="11">
        <f> DT22+預測IC!DU22</f>
        <v/>
      </c>
      <c r="DV22" s="11">
        <f> DU22+預測IC!DV22</f>
        <v/>
      </c>
      <c r="DW22" s="11">
        <f> DV22+預測IC!DW22</f>
        <v/>
      </c>
      <c r="DX22" s="11">
        <f> DW22+預測IC!DX22</f>
        <v/>
      </c>
      <c r="DY22" s="11">
        <f> DX22+預測IC!DY22</f>
        <v/>
      </c>
      <c r="DZ22" s="11">
        <f> DY22+預測IC!DZ22</f>
        <v/>
      </c>
      <c r="EA22" s="11">
        <f> DZ22+預測IC!EA22</f>
        <v/>
      </c>
      <c r="EB22" s="11">
        <f> EA22+預測IC!EB22</f>
        <v/>
      </c>
      <c r="EC22" s="11">
        <f> EB22+預測IC!EC22</f>
        <v/>
      </c>
      <c r="ED22" s="11">
        <f> EC22+預測IC!ED22</f>
        <v/>
      </c>
      <c r="EE22" s="11">
        <f> ED22+預測IC!EE22</f>
        <v/>
      </c>
      <c r="EF22" s="11">
        <f> EE22+預測IC!EF22</f>
        <v/>
      </c>
    </row>
    <row r="23" ht="16.2" customFormat="1" customHeight="1" s="8" thickBot="1">
      <c r="A23" s="50" t="n">
        <v>482</v>
      </c>
      <c r="B23" s="50" t="n">
        <v>2</v>
      </c>
      <c r="C23" s="11" t="n">
        <v>0.28298927</v>
      </c>
      <c r="D23" s="11">
        <f> C23+預測IC!D23</f>
        <v/>
      </c>
      <c r="E23" s="11">
        <f> D23+預測IC!E23</f>
        <v/>
      </c>
      <c r="F23" s="11">
        <f> E23+預測IC!F23</f>
        <v/>
      </c>
      <c r="G23" s="11">
        <f> F23+預測IC!G23</f>
        <v/>
      </c>
      <c r="H23" s="11">
        <f> G23+預測IC!H23</f>
        <v/>
      </c>
      <c r="I23" s="11">
        <f> H23+預測IC!I23</f>
        <v/>
      </c>
      <c r="J23" s="11">
        <f> I23+預測IC!J23</f>
        <v/>
      </c>
      <c r="K23" s="11">
        <f> J23+預測IC!K23</f>
        <v/>
      </c>
      <c r="L23" s="11">
        <f> K23+預測IC!L23</f>
        <v/>
      </c>
      <c r="M23" s="11">
        <f> L23+預測IC!M23</f>
        <v/>
      </c>
      <c r="N23" s="11">
        <f> M23+預測IC!N23</f>
        <v/>
      </c>
      <c r="O23" s="11">
        <f> N23+預測IC!O23</f>
        <v/>
      </c>
      <c r="P23" s="11">
        <f> O23+預測IC!P23</f>
        <v/>
      </c>
      <c r="Q23" s="11">
        <f> P23+預測IC!Q23</f>
        <v/>
      </c>
      <c r="R23" s="11">
        <f> Q23+預測IC!R23</f>
        <v/>
      </c>
      <c r="S23" s="11">
        <f> R23+預測IC!S23</f>
        <v/>
      </c>
      <c r="T23" s="11">
        <f> S23+預測IC!T23</f>
        <v/>
      </c>
      <c r="U23" s="11">
        <f> T23+預測IC!U23</f>
        <v/>
      </c>
      <c r="V23" s="11">
        <f> U23+預測IC!V23</f>
        <v/>
      </c>
      <c r="W23" s="11">
        <f> V23+預測IC!W23</f>
        <v/>
      </c>
      <c r="X23" s="11">
        <f> W23+預測IC!X23</f>
        <v/>
      </c>
      <c r="Y23" s="11">
        <f> X23+預測IC!Y23</f>
        <v/>
      </c>
      <c r="Z23" s="11">
        <f> Y23+預測IC!Z23</f>
        <v/>
      </c>
      <c r="AA23" s="11">
        <f> Z23+預測IC!AA23</f>
        <v/>
      </c>
      <c r="AB23" s="11">
        <f> AA23+預測IC!AB23</f>
        <v/>
      </c>
      <c r="AC23" s="11">
        <f> AB23+預測IC!AC23</f>
        <v/>
      </c>
      <c r="AD23" s="11">
        <f> AC23+預測IC!AD23</f>
        <v/>
      </c>
      <c r="AE23" s="11">
        <f> AD23+預測IC!AE23</f>
        <v/>
      </c>
      <c r="AF23" s="11">
        <f> AE23+預測IC!AF23</f>
        <v/>
      </c>
      <c r="AG23" s="11">
        <f> AF23+預測IC!AG23</f>
        <v/>
      </c>
      <c r="AH23" s="11">
        <f> AG23+預測IC!AH23</f>
        <v/>
      </c>
      <c r="AI23" s="11">
        <f> AH23+預測IC!AI23</f>
        <v/>
      </c>
      <c r="AJ23" s="11">
        <f> AI23+預測IC!AJ23</f>
        <v/>
      </c>
      <c r="AK23" s="11">
        <f> AJ23+預測IC!AK23</f>
        <v/>
      </c>
      <c r="AL23" s="11">
        <f> AK23+預測IC!AL23</f>
        <v/>
      </c>
      <c r="AM23" s="11">
        <f> AL23+預測IC!AM23</f>
        <v/>
      </c>
      <c r="AN23" s="11">
        <f> AM23+預測IC!AN23</f>
        <v/>
      </c>
      <c r="AO23" s="11">
        <f> AN23+預測IC!AO23</f>
        <v/>
      </c>
      <c r="AP23" s="11">
        <f> AO23+預測IC!AP23</f>
        <v/>
      </c>
      <c r="AQ23" s="11">
        <f> AP23+預測IC!AQ23</f>
        <v/>
      </c>
      <c r="AR23" s="11">
        <f> AQ23+預測IC!AR23</f>
        <v/>
      </c>
      <c r="AS23" s="11">
        <f> AR23+預測IC!AS23</f>
        <v/>
      </c>
      <c r="AT23" s="11">
        <f> AS23+預測IC!AT23</f>
        <v/>
      </c>
      <c r="AU23" s="11">
        <f> AT23+預測IC!AU23</f>
        <v/>
      </c>
      <c r="AV23" s="11">
        <f> AU23+預測IC!AV23</f>
        <v/>
      </c>
      <c r="AW23" s="11">
        <f> AV23+預測IC!AW23</f>
        <v/>
      </c>
      <c r="AX23" s="11">
        <f> AW23+預測IC!AX23</f>
        <v/>
      </c>
      <c r="AY23" s="11">
        <f> AX23+預測IC!AY23</f>
        <v/>
      </c>
      <c r="AZ23" s="11">
        <f> AY23+預測IC!AZ23</f>
        <v/>
      </c>
      <c r="BA23" s="11">
        <f> AZ23+預測IC!BA23</f>
        <v/>
      </c>
      <c r="BB23" s="11">
        <f> BA23+預測IC!BB23</f>
        <v/>
      </c>
      <c r="BC23" s="11">
        <f> BB23+預測IC!BC23</f>
        <v/>
      </c>
      <c r="BD23" s="11">
        <f> BC23+預測IC!BD23</f>
        <v/>
      </c>
      <c r="BE23" s="11">
        <f> BD23+預測IC!BE23</f>
        <v/>
      </c>
      <c r="BF23" s="11">
        <f> BE23+預測IC!BF23</f>
        <v/>
      </c>
      <c r="BG23" s="11">
        <f> BF23+預測IC!BG23</f>
        <v/>
      </c>
      <c r="BH23" s="11">
        <f> BG23+預測IC!BH23</f>
        <v/>
      </c>
      <c r="BI23" s="11">
        <f> BH23+預測IC!BI23</f>
        <v/>
      </c>
      <c r="BJ23" s="11">
        <f> BI23+預測IC!BJ23</f>
        <v/>
      </c>
      <c r="BK23" s="11">
        <f> BJ23+預測IC!BK23</f>
        <v/>
      </c>
      <c r="BL23" s="11">
        <f> BK23+預測IC!BL23</f>
        <v/>
      </c>
      <c r="BM23" s="11">
        <f> BL23+預測IC!BM23</f>
        <v/>
      </c>
      <c r="BN23" s="11">
        <f> BM23+預測IC!BN23</f>
        <v/>
      </c>
      <c r="BO23" s="11">
        <f> BN23+預測IC!BO23</f>
        <v/>
      </c>
      <c r="BP23" s="11">
        <f> BO23+預測IC!BP23</f>
        <v/>
      </c>
      <c r="BQ23" s="11">
        <f> BP23+預測IC!BQ23</f>
        <v/>
      </c>
      <c r="BR23" s="11">
        <f> BQ23+預測IC!BR23</f>
        <v/>
      </c>
      <c r="BS23" s="11">
        <f> BR23+預測IC!BS23</f>
        <v/>
      </c>
      <c r="BT23" s="11">
        <f> BS23+預測IC!BT23</f>
        <v/>
      </c>
      <c r="BU23" s="11">
        <f> BT23+預測IC!BU23</f>
        <v/>
      </c>
      <c r="BV23" s="11">
        <f> BU23+預測IC!BV23</f>
        <v/>
      </c>
      <c r="BW23" s="11">
        <f> BV23+預測IC!BW23</f>
        <v/>
      </c>
      <c r="BX23" s="11">
        <f> BW23+預測IC!BX23</f>
        <v/>
      </c>
      <c r="BY23" s="11">
        <f> BX23+預測IC!BY23</f>
        <v/>
      </c>
      <c r="BZ23" s="11">
        <f> BY23+預測IC!BZ23</f>
        <v/>
      </c>
      <c r="CA23" s="11">
        <f> BZ23+預測IC!CA23</f>
        <v/>
      </c>
      <c r="CB23" s="11">
        <f> CA23+預測IC!CB23</f>
        <v/>
      </c>
      <c r="CC23" s="11">
        <f> CB23+預測IC!CC23</f>
        <v/>
      </c>
      <c r="CD23" s="11">
        <f> CC23+預測IC!CD23</f>
        <v/>
      </c>
      <c r="CE23" s="11">
        <f> CD23+預測IC!CE23</f>
        <v/>
      </c>
      <c r="CF23" s="11">
        <f> CE23+預測IC!CF23</f>
        <v/>
      </c>
      <c r="CG23" s="11">
        <f> CF23+預測IC!CG23</f>
        <v/>
      </c>
      <c r="CH23" s="11">
        <f> CG23+預測IC!CH23</f>
        <v/>
      </c>
      <c r="CI23" s="11">
        <f> CH23+預測IC!CI23</f>
        <v/>
      </c>
      <c r="CJ23" s="11">
        <f> CI23+預測IC!CJ23</f>
        <v/>
      </c>
      <c r="CK23" s="11">
        <f> CJ23+預測IC!CK23</f>
        <v/>
      </c>
      <c r="CL23" s="11">
        <f> CK23+預測IC!CL23</f>
        <v/>
      </c>
      <c r="CM23" s="11">
        <f> CL23+預測IC!CM23</f>
        <v/>
      </c>
      <c r="CN23" s="11">
        <f> CM23+預測IC!CN23</f>
        <v/>
      </c>
      <c r="CO23" s="11">
        <f> CN23+預測IC!CO23</f>
        <v/>
      </c>
      <c r="CP23" s="11">
        <f> CO23+預測IC!CP23</f>
        <v/>
      </c>
      <c r="CQ23" s="11">
        <f> CP23+預測IC!CQ23</f>
        <v/>
      </c>
      <c r="CR23" s="11">
        <f> CQ23+預測IC!CR23</f>
        <v/>
      </c>
      <c r="CS23" s="11">
        <f> CR23+預測IC!CS23</f>
        <v/>
      </c>
      <c r="CT23" s="11">
        <f> CS23+預測IC!CT23</f>
        <v/>
      </c>
      <c r="CU23" s="11">
        <f> CT23+預測IC!CU23</f>
        <v/>
      </c>
      <c r="CV23" s="11">
        <f> CU23+預測IC!CV23</f>
        <v/>
      </c>
      <c r="CW23" s="11">
        <f> CV23+預測IC!CW23</f>
        <v/>
      </c>
      <c r="CX23" s="11">
        <f> CW23+預測IC!CX23</f>
        <v/>
      </c>
      <c r="CY23" s="11">
        <f> CX23+預測IC!CY23</f>
        <v/>
      </c>
      <c r="CZ23" s="11">
        <f> CY23+預測IC!CZ23</f>
        <v/>
      </c>
      <c r="DA23" s="11">
        <f> CZ23+預測IC!DA23</f>
        <v/>
      </c>
      <c r="DB23" s="11">
        <f> DA23+預測IC!DB23</f>
        <v/>
      </c>
      <c r="DC23" s="11">
        <f> DB23+預測IC!DC23</f>
        <v/>
      </c>
      <c r="DD23" s="11">
        <f> DC23+預測IC!DD23</f>
        <v/>
      </c>
      <c r="DE23" s="11">
        <f> DD23+預測IC!DE23</f>
        <v/>
      </c>
      <c r="DF23" s="11">
        <f> DE23+預測IC!DF23</f>
        <v/>
      </c>
      <c r="DG23" s="11">
        <f> DF23+預測IC!DG23</f>
        <v/>
      </c>
      <c r="DH23" s="11">
        <f> DG23+預測IC!DH23</f>
        <v/>
      </c>
      <c r="DI23" s="11">
        <f> DH23+預測IC!DI23</f>
        <v/>
      </c>
      <c r="DJ23" s="11">
        <f> DI23+預測IC!DJ23</f>
        <v/>
      </c>
      <c r="DK23" s="11">
        <f> DJ23+預測IC!DK23</f>
        <v/>
      </c>
      <c r="DL23" s="11">
        <f> DK23+預測IC!DL23</f>
        <v/>
      </c>
      <c r="DM23" s="11">
        <f> DL23+預測IC!DM23</f>
        <v/>
      </c>
      <c r="DN23" s="11">
        <f> DM23+預測IC!DN23</f>
        <v/>
      </c>
      <c r="DO23" s="11">
        <f> DN23+預測IC!DO23</f>
        <v/>
      </c>
      <c r="DP23" s="11">
        <f> DO23+預測IC!DP23</f>
        <v/>
      </c>
      <c r="DQ23" s="11">
        <f> DP23+預測IC!DQ23</f>
        <v/>
      </c>
      <c r="DR23" s="11">
        <f> DQ23+預測IC!DR23</f>
        <v/>
      </c>
      <c r="DS23" s="11">
        <f> DR23+預測IC!DS23</f>
        <v/>
      </c>
      <c r="DT23" s="11">
        <f> DS23+預測IC!DT23</f>
        <v/>
      </c>
      <c r="DU23" s="11">
        <f> DT23+預測IC!DU23</f>
        <v/>
      </c>
      <c r="DV23" s="11">
        <f> DU23+預測IC!DV23</f>
        <v/>
      </c>
      <c r="DW23" s="11">
        <f> DV23+預測IC!DW23</f>
        <v/>
      </c>
      <c r="DX23" s="11">
        <f> DW23+預測IC!DX23</f>
        <v/>
      </c>
      <c r="DY23" s="11">
        <f> DX23+預測IC!DY23</f>
        <v/>
      </c>
      <c r="DZ23" s="11">
        <f> DY23+預測IC!DZ23</f>
        <v/>
      </c>
      <c r="EA23" s="11">
        <f> DZ23+預測IC!EA23</f>
        <v/>
      </c>
      <c r="EB23" s="11">
        <f> EA23+預測IC!EB23</f>
        <v/>
      </c>
      <c r="EC23" s="11">
        <f> EB23+預測IC!EC23</f>
        <v/>
      </c>
      <c r="ED23" s="11">
        <f> EC23+預測IC!ED23</f>
        <v/>
      </c>
      <c r="EE23" s="11">
        <f> ED23+預測IC!EE23</f>
        <v/>
      </c>
      <c r="EF23" s="11">
        <f> EE23+預測IC!EF23</f>
        <v/>
      </c>
    </row>
    <row r="24" ht="16.2" customFormat="1" customHeight="1" s="8" thickBot="1">
      <c r="A24" s="50" t="n">
        <v>964</v>
      </c>
      <c r="B24" s="50" t="n">
        <v>1</v>
      </c>
      <c r="C24" s="11" t="n">
        <v>0.09911336</v>
      </c>
      <c r="D24" s="11">
        <f> C24+預測IC!D24</f>
        <v/>
      </c>
      <c r="E24" s="11">
        <f> D24+預測IC!E24</f>
        <v/>
      </c>
      <c r="F24" s="11">
        <f> E24+預測IC!F24</f>
        <v/>
      </c>
      <c r="G24" s="11">
        <f> F24+預測IC!G24</f>
        <v/>
      </c>
      <c r="H24" s="11">
        <f> G24+預測IC!H24</f>
        <v/>
      </c>
      <c r="I24" s="11">
        <f> H24+預測IC!I24</f>
        <v/>
      </c>
      <c r="J24" s="11">
        <f> I24+預測IC!J24</f>
        <v/>
      </c>
      <c r="K24" s="11">
        <f> J24+預測IC!K24</f>
        <v/>
      </c>
      <c r="L24" s="11">
        <f> K24+預測IC!L24</f>
        <v/>
      </c>
      <c r="M24" s="11">
        <f> L24+預測IC!M24</f>
        <v/>
      </c>
      <c r="N24" s="11">
        <f> M24+預測IC!N24</f>
        <v/>
      </c>
      <c r="O24" s="11">
        <f> N24+預測IC!O24</f>
        <v/>
      </c>
      <c r="P24" s="11">
        <f> O24+預測IC!P24</f>
        <v/>
      </c>
      <c r="Q24" s="11">
        <f> P24+預測IC!Q24</f>
        <v/>
      </c>
      <c r="R24" s="11">
        <f> Q24+預測IC!R24</f>
        <v/>
      </c>
      <c r="S24" s="11">
        <f> R24+預測IC!S24</f>
        <v/>
      </c>
      <c r="T24" s="11">
        <f> S24+預測IC!T24</f>
        <v/>
      </c>
      <c r="U24" s="11">
        <f> T24+預測IC!U24</f>
        <v/>
      </c>
      <c r="V24" s="11">
        <f> U24+預測IC!V24</f>
        <v/>
      </c>
      <c r="W24" s="11">
        <f> V24+預測IC!W24</f>
        <v/>
      </c>
      <c r="X24" s="11">
        <f> W24+預測IC!X24</f>
        <v/>
      </c>
      <c r="Y24" s="11">
        <f> X24+預測IC!Y24</f>
        <v/>
      </c>
      <c r="Z24" s="11">
        <f> Y24+預測IC!Z24</f>
        <v/>
      </c>
      <c r="AA24" s="11">
        <f> Z24+預測IC!AA24</f>
        <v/>
      </c>
      <c r="AB24" s="11">
        <f> AA24+預測IC!AB24</f>
        <v/>
      </c>
      <c r="AC24" s="11">
        <f> AB24+預測IC!AC24</f>
        <v/>
      </c>
      <c r="AD24" s="11">
        <f> AC24+預測IC!AD24</f>
        <v/>
      </c>
      <c r="AE24" s="11">
        <f> AD24+預測IC!AE24</f>
        <v/>
      </c>
      <c r="AF24" s="11">
        <f> AE24+預測IC!AF24</f>
        <v/>
      </c>
      <c r="AG24" s="11">
        <f> AF24+預測IC!AG24</f>
        <v/>
      </c>
      <c r="AH24" s="11">
        <f> AG24+預測IC!AH24</f>
        <v/>
      </c>
      <c r="AI24" s="11">
        <f> AH24+預測IC!AI24</f>
        <v/>
      </c>
      <c r="AJ24" s="11">
        <f> AI24+預測IC!AJ24</f>
        <v/>
      </c>
      <c r="AK24" s="11">
        <f> AJ24+預測IC!AK24</f>
        <v/>
      </c>
      <c r="AL24" s="11">
        <f> AK24+預測IC!AL24</f>
        <v/>
      </c>
      <c r="AM24" s="11">
        <f> AL24+預測IC!AM24</f>
        <v/>
      </c>
      <c r="AN24" s="11">
        <f> AM24+預測IC!AN24</f>
        <v/>
      </c>
      <c r="AO24" s="11">
        <f> AN24+預測IC!AO24</f>
        <v/>
      </c>
      <c r="AP24" s="11">
        <f> AO24+預測IC!AP24</f>
        <v/>
      </c>
      <c r="AQ24" s="11">
        <f> AP24+預測IC!AQ24</f>
        <v/>
      </c>
      <c r="AR24" s="11">
        <f> AQ24+預測IC!AR24</f>
        <v/>
      </c>
      <c r="AS24" s="11">
        <f> AR24+預測IC!AS24</f>
        <v/>
      </c>
      <c r="AT24" s="11">
        <f> AS24+預測IC!AT24</f>
        <v/>
      </c>
      <c r="AU24" s="11">
        <f> AT24+預測IC!AU24</f>
        <v/>
      </c>
      <c r="AV24" s="11">
        <f> AU24+預測IC!AV24</f>
        <v/>
      </c>
      <c r="AW24" s="11">
        <f> AV24+預測IC!AW24</f>
        <v/>
      </c>
      <c r="AX24" s="11">
        <f> AW24+預測IC!AX24</f>
        <v/>
      </c>
      <c r="AY24" s="11">
        <f> AX24+預測IC!AY24</f>
        <v/>
      </c>
      <c r="AZ24" s="11">
        <f> AY24+預測IC!AZ24</f>
        <v/>
      </c>
      <c r="BA24" s="11">
        <f> AZ24+預測IC!BA24</f>
        <v/>
      </c>
      <c r="BB24" s="11">
        <f> BA24+預測IC!BB24</f>
        <v/>
      </c>
      <c r="BC24" s="11">
        <f> BB24+預測IC!BC24</f>
        <v/>
      </c>
      <c r="BD24" s="11">
        <f> BC24+預測IC!BD24</f>
        <v/>
      </c>
      <c r="BE24" s="11">
        <f> BD24+預測IC!BE24</f>
        <v/>
      </c>
      <c r="BF24" s="11">
        <f> BE24+預測IC!BF24</f>
        <v/>
      </c>
      <c r="BG24" s="11">
        <f> BF24+預測IC!BG24</f>
        <v/>
      </c>
      <c r="BH24" s="11">
        <f> BG24+預測IC!BH24</f>
        <v/>
      </c>
      <c r="BI24" s="11">
        <f> BH24+預測IC!BI24</f>
        <v/>
      </c>
      <c r="BJ24" s="11">
        <f> BI24+預測IC!BJ24</f>
        <v/>
      </c>
      <c r="BK24" s="11">
        <f> BJ24+預測IC!BK24</f>
        <v/>
      </c>
      <c r="BL24" s="11">
        <f> BK24+預測IC!BL24</f>
        <v/>
      </c>
      <c r="BM24" s="11">
        <f> BL24+預測IC!BM24</f>
        <v/>
      </c>
      <c r="BN24" s="11">
        <f> BM24+預測IC!BN24</f>
        <v/>
      </c>
      <c r="BO24" s="11">
        <f> BN24+預測IC!BO24</f>
        <v/>
      </c>
      <c r="BP24" s="11">
        <f> BO24+預測IC!BP24</f>
        <v/>
      </c>
      <c r="BQ24" s="11">
        <f> BP24+預測IC!BQ24</f>
        <v/>
      </c>
      <c r="BR24" s="11">
        <f> BQ24+預測IC!BR24</f>
        <v/>
      </c>
      <c r="BS24" s="11">
        <f> BR24+預測IC!BS24</f>
        <v/>
      </c>
      <c r="BT24" s="11">
        <f> BS24+預測IC!BT24</f>
        <v/>
      </c>
      <c r="BU24" s="11">
        <f> BT24+預測IC!BU24</f>
        <v/>
      </c>
      <c r="BV24" s="11">
        <f> BU24+預測IC!BV24</f>
        <v/>
      </c>
      <c r="BW24" s="11">
        <f> BV24+預測IC!BW24</f>
        <v/>
      </c>
      <c r="BX24" s="11">
        <f> BW24+預測IC!BX24</f>
        <v/>
      </c>
      <c r="BY24" s="11">
        <f> BX24+預測IC!BY24</f>
        <v/>
      </c>
      <c r="BZ24" s="11">
        <f> BY24+預測IC!BZ24</f>
        <v/>
      </c>
      <c r="CA24" s="11">
        <f> BZ24+預測IC!CA24</f>
        <v/>
      </c>
      <c r="CB24" s="11">
        <f> CA24+預測IC!CB24</f>
        <v/>
      </c>
      <c r="CC24" s="11">
        <f> CB24+預測IC!CC24</f>
        <v/>
      </c>
      <c r="CD24" s="11">
        <f> CC24+預測IC!CD24</f>
        <v/>
      </c>
      <c r="CE24" s="11">
        <f> CD24+預測IC!CE24</f>
        <v/>
      </c>
      <c r="CF24" s="11">
        <f> CE24+預測IC!CF24</f>
        <v/>
      </c>
      <c r="CG24" s="11">
        <f> CF24+預測IC!CG24</f>
        <v/>
      </c>
      <c r="CH24" s="11">
        <f> CG24+預測IC!CH24</f>
        <v/>
      </c>
      <c r="CI24" s="11">
        <f> CH24+預測IC!CI24</f>
        <v/>
      </c>
      <c r="CJ24" s="11">
        <f> CI24+預測IC!CJ24</f>
        <v/>
      </c>
      <c r="CK24" s="11">
        <f> CJ24+預測IC!CK24</f>
        <v/>
      </c>
      <c r="CL24" s="11">
        <f> CK24+預測IC!CL24</f>
        <v/>
      </c>
      <c r="CM24" s="11">
        <f> CL24+預測IC!CM24</f>
        <v/>
      </c>
      <c r="CN24" s="11">
        <f> CM24+預測IC!CN24</f>
        <v/>
      </c>
      <c r="CO24" s="11">
        <f> CN24+預測IC!CO24</f>
        <v/>
      </c>
      <c r="CP24" s="11">
        <f> CO24+預測IC!CP24</f>
        <v/>
      </c>
      <c r="CQ24" s="11">
        <f> CP24+預測IC!CQ24</f>
        <v/>
      </c>
      <c r="CR24" s="11">
        <f> CQ24+預測IC!CR24</f>
        <v/>
      </c>
      <c r="CS24" s="11">
        <f> CR24+預測IC!CS24</f>
        <v/>
      </c>
      <c r="CT24" s="11">
        <f> CS24+預測IC!CT24</f>
        <v/>
      </c>
      <c r="CU24" s="11">
        <f> CT24+預測IC!CU24</f>
        <v/>
      </c>
      <c r="CV24" s="11">
        <f> CU24+預測IC!CV24</f>
        <v/>
      </c>
      <c r="CW24" s="11">
        <f> CV24+預測IC!CW24</f>
        <v/>
      </c>
      <c r="CX24" s="11">
        <f> CW24+預測IC!CX24</f>
        <v/>
      </c>
      <c r="CY24" s="11">
        <f> CX24+預測IC!CY24</f>
        <v/>
      </c>
      <c r="CZ24" s="11">
        <f> CY24+預測IC!CZ24</f>
        <v/>
      </c>
      <c r="DA24" s="11">
        <f> CZ24+預測IC!DA24</f>
        <v/>
      </c>
      <c r="DB24" s="11">
        <f> DA24+預測IC!DB24</f>
        <v/>
      </c>
      <c r="DC24" s="11">
        <f> DB24+預測IC!DC24</f>
        <v/>
      </c>
      <c r="DD24" s="11">
        <f> DC24+預測IC!DD24</f>
        <v/>
      </c>
      <c r="DE24" s="11">
        <f> DD24+預測IC!DE24</f>
        <v/>
      </c>
      <c r="DF24" s="11">
        <f> DE24+預測IC!DF24</f>
        <v/>
      </c>
      <c r="DG24" s="11">
        <f> DF24+預測IC!DG24</f>
        <v/>
      </c>
      <c r="DH24" s="11">
        <f> DG24+預測IC!DH24</f>
        <v/>
      </c>
      <c r="DI24" s="11">
        <f> DH24+預測IC!DI24</f>
        <v/>
      </c>
      <c r="DJ24" s="11">
        <f> DI24+預測IC!DJ24</f>
        <v/>
      </c>
      <c r="DK24" s="11">
        <f> DJ24+預測IC!DK24</f>
        <v/>
      </c>
      <c r="DL24" s="11">
        <f> DK24+預測IC!DL24</f>
        <v/>
      </c>
      <c r="DM24" s="11">
        <f> DL24+預測IC!DM24</f>
        <v/>
      </c>
      <c r="DN24" s="11">
        <f> DM24+預測IC!DN24</f>
        <v/>
      </c>
      <c r="DO24" s="11">
        <f> DN24+預測IC!DO24</f>
        <v/>
      </c>
      <c r="DP24" s="11">
        <f> DO24+預測IC!DP24</f>
        <v/>
      </c>
      <c r="DQ24" s="11">
        <f> DP24+預測IC!DQ24</f>
        <v/>
      </c>
      <c r="DR24" s="11">
        <f> DQ24+預測IC!DR24</f>
        <v/>
      </c>
      <c r="DS24" s="11">
        <f> DR24+預測IC!DS24</f>
        <v/>
      </c>
      <c r="DT24" s="11">
        <f> DS24+預測IC!DT24</f>
        <v/>
      </c>
      <c r="DU24" s="11">
        <f> DT24+預測IC!DU24</f>
        <v/>
      </c>
      <c r="DV24" s="11">
        <f> DU24+預測IC!DV24</f>
        <v/>
      </c>
      <c r="DW24" s="11">
        <f> DV24+預測IC!DW24</f>
        <v/>
      </c>
      <c r="DX24" s="11">
        <f> DW24+預測IC!DX24</f>
        <v/>
      </c>
      <c r="DY24" s="11">
        <f> DX24+預測IC!DY24</f>
        <v/>
      </c>
      <c r="DZ24" s="11">
        <f> DY24+預測IC!DZ24</f>
        <v/>
      </c>
      <c r="EA24" s="11">
        <f> DZ24+預測IC!EA24</f>
        <v/>
      </c>
      <c r="EB24" s="11">
        <f> EA24+預測IC!EB24</f>
        <v/>
      </c>
      <c r="EC24" s="11">
        <f> EB24+預測IC!EC24</f>
        <v/>
      </c>
      <c r="ED24" s="11">
        <f> EC24+預測IC!ED24</f>
        <v/>
      </c>
      <c r="EE24" s="11">
        <f> ED24+預測IC!EE24</f>
        <v/>
      </c>
      <c r="EF24" s="11">
        <f> EE24+預測IC!EF24</f>
        <v/>
      </c>
    </row>
    <row r="25" ht="16.2" customHeight="1" s="54" thickBot="1"/>
    <row r="26" ht="17.7" customHeight="1" s="54" thickBot="1">
      <c r="A26" s="13" t="inlineStr">
        <is>
          <t>大盤</t>
        </is>
      </c>
      <c r="B26" s="50" t="inlineStr">
        <is>
          <t>TWII</t>
        </is>
      </c>
      <c r="C26" s="12" t="n">
        <v>-0.0174467705393903</v>
      </c>
      <c r="D26" s="30">
        <f>C26+預測IC!D26</f>
        <v/>
      </c>
      <c r="E26" s="30">
        <f>D26+預測IC!E26</f>
        <v/>
      </c>
      <c r="F26" s="30">
        <f>E26+預測IC!F26</f>
        <v/>
      </c>
      <c r="G26" s="30">
        <f>F26+預測IC!G26</f>
        <v/>
      </c>
      <c r="H26" s="30">
        <f>G26+預測IC!H26</f>
        <v/>
      </c>
      <c r="I26" s="30">
        <f>H26+預測IC!I26</f>
        <v/>
      </c>
      <c r="J26" s="30">
        <f>I26+預測IC!J26</f>
        <v/>
      </c>
      <c r="K26" s="30">
        <f>J26+預測IC!K26</f>
        <v/>
      </c>
      <c r="L26" s="30">
        <f>K26+預測IC!L26</f>
        <v/>
      </c>
      <c r="M26" s="30">
        <f>L26+預測IC!M26</f>
        <v/>
      </c>
      <c r="N26" s="30">
        <f>M26+預測IC!N26</f>
        <v/>
      </c>
      <c r="O26" s="30">
        <f>N26+預測IC!O26</f>
        <v/>
      </c>
      <c r="P26" s="30">
        <f>O26+預測IC!P26</f>
        <v/>
      </c>
      <c r="Q26" s="30">
        <f>P26+預測IC!Q26</f>
        <v/>
      </c>
      <c r="R26" s="30">
        <f>Q26+預測IC!R26</f>
        <v/>
      </c>
      <c r="S26" s="30">
        <f>R26+預測IC!S26</f>
        <v/>
      </c>
      <c r="T26" s="30">
        <f>S26+預測IC!T26</f>
        <v/>
      </c>
      <c r="U26" s="30">
        <f>T26+預測IC!U26</f>
        <v/>
      </c>
      <c r="V26" s="30">
        <f>U26+預測IC!V26</f>
        <v/>
      </c>
      <c r="W26" s="30">
        <f>V26+預測IC!W26</f>
        <v/>
      </c>
      <c r="X26" s="30">
        <f>W26+預測IC!X26</f>
        <v/>
      </c>
      <c r="Y26" s="30">
        <f>X26+預測IC!Y26</f>
        <v/>
      </c>
      <c r="Z26" s="30">
        <f>Y26+預測IC!Z26</f>
        <v/>
      </c>
      <c r="AA26" s="30">
        <f>Z26+預測IC!AA26</f>
        <v/>
      </c>
      <c r="AB26" s="30">
        <f>AA26+預測IC!AB26</f>
        <v/>
      </c>
      <c r="AC26" s="30">
        <f>AB26+預測IC!AC26</f>
        <v/>
      </c>
      <c r="AD26" s="30">
        <f>AC26+預測IC!AD26</f>
        <v/>
      </c>
      <c r="AE26" s="30">
        <f>AD26+預測IC!AE26</f>
        <v/>
      </c>
      <c r="AF26" s="30">
        <f>AE26+預測IC!AF26</f>
        <v/>
      </c>
      <c r="AG26" s="30">
        <f>AF26+預測IC!AG26</f>
        <v/>
      </c>
      <c r="AH26" s="30">
        <f>AG26+預測IC!AH26</f>
        <v/>
      </c>
      <c r="AI26" s="30">
        <f>AH26+預測IC!AI26</f>
        <v/>
      </c>
      <c r="AJ26" s="30">
        <f>AI26+預測IC!AJ26</f>
        <v/>
      </c>
      <c r="AK26" s="30">
        <f>AJ26+預測IC!AK26</f>
        <v/>
      </c>
      <c r="AL26" s="30">
        <f>AK26+預測IC!AL26</f>
        <v/>
      </c>
      <c r="AM26" s="30">
        <f>AL26+預測IC!AM26</f>
        <v/>
      </c>
      <c r="AN26" s="30">
        <f>AM26+預測IC!AN26</f>
        <v/>
      </c>
      <c r="AO26" s="30">
        <f>AN26+預測IC!AO26</f>
        <v/>
      </c>
      <c r="AP26" s="30">
        <f>AO26+預測IC!AP26</f>
        <v/>
      </c>
      <c r="AQ26" s="30">
        <f>AP26+預測IC!AQ26</f>
        <v/>
      </c>
      <c r="AR26" s="30">
        <f>AQ26+預測IC!AR26</f>
        <v/>
      </c>
      <c r="AS26" s="30">
        <f>AR26+預測IC!AS26</f>
        <v/>
      </c>
      <c r="AT26" s="30">
        <f>AS26+預測IC!AT26</f>
        <v/>
      </c>
      <c r="AU26" s="30">
        <f>AT26+預測IC!AU26</f>
        <v/>
      </c>
      <c r="AV26" s="30">
        <f>AU26+預測IC!AV26</f>
        <v/>
      </c>
      <c r="AW26" s="30">
        <f>AV26+預測IC!AW26</f>
        <v/>
      </c>
      <c r="AX26" s="30">
        <f>AW26+預測IC!AX26</f>
        <v/>
      </c>
      <c r="AY26" s="30">
        <f>AX26+預測IC!AY26</f>
        <v/>
      </c>
      <c r="AZ26" s="30">
        <f>AY26+預測IC!AZ26</f>
        <v/>
      </c>
      <c r="BA26" s="30">
        <f>AZ26+預測IC!BA26</f>
        <v/>
      </c>
      <c r="BB26" s="30">
        <f>BA26+預測IC!BB26</f>
        <v/>
      </c>
      <c r="BC26" s="30">
        <f>BB26+預測IC!BC26</f>
        <v/>
      </c>
      <c r="BD26" s="30">
        <f>BC26+預測IC!BD26</f>
        <v/>
      </c>
      <c r="BE26" s="30">
        <f>BD26+預測IC!BE26</f>
        <v/>
      </c>
      <c r="BF26" s="30">
        <f>BE26+預測IC!BF26</f>
        <v/>
      </c>
      <c r="BG26" s="30">
        <f>BF26+預測IC!BG26</f>
        <v/>
      </c>
      <c r="BH26" s="30">
        <f>BG26+預測IC!BH26</f>
        <v/>
      </c>
      <c r="BI26" s="30">
        <f>BH26+預測IC!BI26</f>
        <v/>
      </c>
      <c r="BJ26" s="30">
        <f>BI26+預測IC!BJ26</f>
        <v/>
      </c>
      <c r="BK26" s="30">
        <f>BJ26+預測IC!BK26</f>
        <v/>
      </c>
      <c r="BL26" s="30">
        <f>BK26+預測IC!BL26</f>
        <v/>
      </c>
      <c r="BM26" s="30">
        <f>BL26+預測IC!BM26</f>
        <v/>
      </c>
      <c r="BN26" s="30">
        <f>BM26+預測IC!BN26</f>
        <v/>
      </c>
      <c r="BO26" s="30">
        <f>BN26+預測IC!BO26</f>
        <v/>
      </c>
      <c r="BP26" s="30">
        <f>BO26+預測IC!BP26</f>
        <v/>
      </c>
      <c r="BQ26" s="30">
        <f>BP26+預測IC!BQ26</f>
        <v/>
      </c>
      <c r="BR26" s="30">
        <f>BQ26+預測IC!BR26</f>
        <v/>
      </c>
      <c r="BS26" s="30">
        <f>BR26+預測IC!BS26</f>
        <v/>
      </c>
      <c r="BT26" s="30">
        <f>BS26+預測IC!BT26</f>
        <v/>
      </c>
      <c r="BU26" s="30">
        <f>BT26+預測IC!BU26</f>
        <v/>
      </c>
      <c r="BV26" s="30">
        <f>BU26+預測IC!BV26</f>
        <v/>
      </c>
      <c r="BW26" s="30">
        <f>BV26+預測IC!BW26</f>
        <v/>
      </c>
      <c r="BX26" s="30">
        <f>BW26+預測IC!BX26</f>
        <v/>
      </c>
      <c r="BY26" s="30">
        <f>BX26+預測IC!BY26</f>
        <v/>
      </c>
      <c r="BZ26" s="30">
        <f>BY26+預測IC!BZ26</f>
        <v/>
      </c>
      <c r="CA26" s="30">
        <f>BZ26+預測IC!CA26</f>
        <v/>
      </c>
      <c r="CB26" s="30">
        <f>CA26+預測IC!CB26</f>
        <v/>
      </c>
      <c r="CC26" s="30">
        <f>CB26+預測IC!CC26</f>
        <v/>
      </c>
      <c r="CD26" s="30">
        <f>CC26+預測IC!CD26</f>
        <v/>
      </c>
      <c r="CE26" s="30">
        <f>CD26+預測IC!CE26</f>
        <v/>
      </c>
      <c r="CF26" s="30">
        <f>CE26+預測IC!CF26</f>
        <v/>
      </c>
      <c r="CG26" s="30">
        <f>CF26+預測IC!CG26</f>
        <v/>
      </c>
      <c r="CH26" s="30">
        <f>CG26+預測IC!CH26</f>
        <v/>
      </c>
      <c r="CI26" s="30">
        <f>CH26+預測IC!CI26</f>
        <v/>
      </c>
      <c r="CJ26" s="30">
        <f>CI26+預測IC!CJ26</f>
        <v/>
      </c>
      <c r="CK26" s="30">
        <f>CJ26+預測IC!CK26</f>
        <v/>
      </c>
      <c r="CL26" s="30">
        <f>CK26+預測IC!CL26</f>
        <v/>
      </c>
      <c r="CM26" s="30">
        <f>CL26+預測IC!CM26</f>
        <v/>
      </c>
      <c r="CN26" s="30">
        <f>CM26+預測IC!CN26</f>
        <v/>
      </c>
      <c r="CO26" s="30">
        <f>CN26+預測IC!CO26</f>
        <v/>
      </c>
      <c r="CP26" s="30">
        <f>CO26+預測IC!CP26</f>
        <v/>
      </c>
      <c r="CQ26" s="30">
        <f>CP26+預測IC!CQ26</f>
        <v/>
      </c>
      <c r="CR26" s="30">
        <f>CQ26+預測IC!CR26</f>
        <v/>
      </c>
      <c r="CS26" s="30">
        <f>CR26+預測IC!CS26</f>
        <v/>
      </c>
      <c r="CT26" s="30">
        <f>CS26+預測IC!CT26</f>
        <v/>
      </c>
      <c r="CU26" s="30">
        <f>CT26+預測IC!CU26</f>
        <v/>
      </c>
      <c r="CV26" s="30">
        <f>CU26+預測IC!CV26</f>
        <v/>
      </c>
      <c r="CW26" s="30">
        <f>CV26+預測IC!CW26</f>
        <v/>
      </c>
      <c r="CX26" s="30">
        <f>CW26+預測IC!CX26</f>
        <v/>
      </c>
      <c r="CY26" s="30">
        <f>CX26+預測IC!CY26</f>
        <v/>
      </c>
      <c r="CZ26" s="30">
        <f>CY26+預測IC!CZ26</f>
        <v/>
      </c>
      <c r="DA26" s="30">
        <f>CZ26+預測IC!DA26</f>
        <v/>
      </c>
      <c r="DB26" s="30">
        <f>DA26+預測IC!DB26</f>
        <v/>
      </c>
      <c r="DC26" s="30">
        <f>DB26+預測IC!DC26</f>
        <v/>
      </c>
      <c r="DD26" s="30">
        <f>DC26+預測IC!DD26</f>
        <v/>
      </c>
      <c r="DE26" s="30">
        <f>DD26+預測IC!DE26</f>
        <v/>
      </c>
      <c r="DF26" s="30">
        <f>DE26+預測IC!DF26</f>
        <v/>
      </c>
      <c r="DG26" s="30">
        <f>DF26+預測IC!DG26</f>
        <v/>
      </c>
      <c r="DH26" s="30">
        <f>DG26+預測IC!DH26</f>
        <v/>
      </c>
      <c r="DI26" s="30">
        <f>DH26+預測IC!DI26</f>
        <v/>
      </c>
      <c r="DJ26" s="30">
        <f>DI26+預測IC!DJ26</f>
        <v/>
      </c>
      <c r="DK26" s="30">
        <f>DJ26+預測IC!DK26</f>
        <v/>
      </c>
      <c r="DL26" s="30">
        <f>DK26+預測IC!DL26</f>
        <v/>
      </c>
      <c r="DM26" s="30">
        <f>DL26+預測IC!DM26</f>
        <v/>
      </c>
      <c r="DN26" s="30">
        <f>DM26+預測IC!DN26</f>
        <v/>
      </c>
      <c r="DO26" s="30">
        <f>DN26+預測IC!DO26</f>
        <v/>
      </c>
      <c r="DP26" s="30">
        <f>DO26+預測IC!DP26</f>
        <v/>
      </c>
      <c r="DQ26" s="30">
        <f>DP26+預測IC!DQ26</f>
        <v/>
      </c>
      <c r="DR26" s="30">
        <f>DQ26+預測IC!DR26</f>
        <v/>
      </c>
      <c r="DS26" s="30">
        <f>DR26+預測IC!DS26</f>
        <v/>
      </c>
      <c r="DT26" s="30">
        <f>DS26+預測IC!DT26</f>
        <v/>
      </c>
      <c r="DU26" s="30">
        <f>DT26+預測IC!DU26</f>
        <v/>
      </c>
      <c r="DV26" s="30">
        <f>DU26+預測IC!DV26</f>
        <v/>
      </c>
      <c r="DW26" s="30">
        <f>DV26+預測IC!DW26</f>
        <v/>
      </c>
      <c r="DX26" s="30">
        <f>DW26+預測IC!DX26</f>
        <v/>
      </c>
      <c r="DY26" s="30">
        <f>DX26+預測IC!DY26</f>
        <v/>
      </c>
      <c r="DZ26" s="30">
        <f>DY26+預測IC!DZ26</f>
        <v/>
      </c>
      <c r="EA26" s="30">
        <f>DZ26+預測IC!EA26</f>
        <v/>
      </c>
      <c r="EB26" s="30">
        <f>EA26+預測IC!EB26</f>
        <v/>
      </c>
      <c r="EC26" s="30">
        <f>EB26+預測IC!EC26</f>
        <v/>
      </c>
      <c r="ED26" s="30">
        <f>EC26+預測IC!ED26</f>
        <v/>
      </c>
      <c r="EE26" s="30">
        <f>ED26+預測IC!EE26</f>
        <v/>
      </c>
      <c r="EF26" s="30">
        <f>EE26+預測IC!EF26</f>
        <v/>
      </c>
    </row>
  </sheetData>
  <mergeCells count="2">
    <mergeCell ref="A6:B6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G26"/>
  <sheetViews>
    <sheetView tabSelected="1" zoomScale="40" zoomScaleNormal="40" workbookViewId="0">
      <selection activeCell="Y51" sqref="Y51"/>
    </sheetView>
  </sheetViews>
  <sheetFormatPr baseColWidth="8" defaultColWidth="8.88671875" defaultRowHeight="15"/>
  <cols>
    <col width="8.88671875" customWidth="1" style="34" min="1" max="2"/>
    <col width="9" bestFit="1" customWidth="1" style="34" min="3" max="3"/>
    <col width="13.44140625" bestFit="1" customWidth="1" style="34" min="4" max="4"/>
    <col width="14.88671875" bestFit="1" customWidth="1" style="34" min="5" max="5"/>
    <col width="13.44140625" bestFit="1" customWidth="1" style="34" min="6" max="7"/>
    <col width="14.88671875" bestFit="1" customWidth="1" style="34" min="8" max="8"/>
    <col width="14.33203125" bestFit="1" customWidth="1" style="34" min="9" max="9"/>
    <col width="14.88671875" bestFit="1" customWidth="1" style="34" min="10" max="10"/>
    <col width="13.44140625" bestFit="1" customWidth="1" style="34" min="11" max="11"/>
    <col width="14.88671875" bestFit="1" customWidth="1" style="34" min="12" max="13"/>
    <col width="13.44140625" bestFit="1" customWidth="1" style="34" min="14" max="14"/>
    <col width="14.88671875" bestFit="1" customWidth="1" style="34" min="15" max="19"/>
    <col width="13.44140625" bestFit="1" customWidth="1" style="34" min="20" max="21"/>
    <col width="14.33203125" bestFit="1" customWidth="1" style="34" min="22" max="22"/>
    <col width="15.6640625" bestFit="1" customWidth="1" style="34" min="23" max="28"/>
    <col width="14.88671875" bestFit="1" customWidth="1" style="34" min="29" max="29"/>
    <col width="15.6640625" bestFit="1" customWidth="1" style="34" min="30" max="30"/>
    <col width="13.44140625" bestFit="1" customWidth="1" style="34" min="31" max="31"/>
    <col width="14.88671875" bestFit="1" customWidth="1" style="34" min="32" max="58"/>
    <col width="13.44140625" bestFit="1" customWidth="1" style="34" min="59" max="59"/>
    <col width="14.88671875" bestFit="1" customWidth="1" style="34" min="60" max="71"/>
    <col width="13.44140625" bestFit="1" customWidth="1" style="34" min="72" max="72"/>
    <col width="14.88671875" bestFit="1" customWidth="1" style="34" min="73" max="109"/>
    <col width="13.44140625" bestFit="1" customWidth="1" style="34" min="110" max="110"/>
    <col width="14.88671875" bestFit="1" customWidth="1" style="34" min="111" max="111"/>
    <col width="13.44140625" bestFit="1" customWidth="1" style="34" min="112" max="112"/>
    <col width="14.88671875" bestFit="1" customWidth="1" style="34" min="113" max="123"/>
    <col width="13.44140625" bestFit="1" customWidth="1" style="34" min="124" max="124"/>
    <col width="14.88671875" bestFit="1" customWidth="1" style="34" min="125" max="125"/>
    <col width="13.44140625" bestFit="1" customWidth="1" style="34" min="126" max="126"/>
    <col width="14.88671875" bestFit="1" customWidth="1" style="34" min="127" max="136"/>
    <col width="8.88671875" customWidth="1" style="34" min="137" max="138"/>
    <col width="8.88671875" customWidth="1" style="34" min="139" max="16384"/>
  </cols>
  <sheetData>
    <row r="1" ht="16.2" customHeight="1" s="54" thickBot="1">
      <c r="A1" s="32" t="inlineStr">
        <is>
          <t>OLS</t>
        </is>
      </c>
      <c r="B1" s="33" t="n"/>
    </row>
    <row r="2" ht="16.2" customHeight="1" s="54" thickBot="1">
      <c r="A2" s="35" t="n"/>
      <c r="B2" s="36" t="inlineStr">
        <is>
          <t>Time</t>
        </is>
      </c>
      <c r="C2" s="36" t="inlineStr">
        <is>
          <t>2013/12</t>
        </is>
      </c>
      <c r="D2" s="36" t="inlineStr">
        <is>
          <t>2014/01</t>
        </is>
      </c>
      <c r="E2" s="36" t="inlineStr">
        <is>
          <t>2014/02</t>
        </is>
      </c>
      <c r="F2" s="36" t="inlineStr">
        <is>
          <t>2014/03</t>
        </is>
      </c>
      <c r="G2" s="36" t="inlineStr">
        <is>
          <t>2014/04</t>
        </is>
      </c>
      <c r="H2" s="36" t="inlineStr">
        <is>
          <t>2014/05</t>
        </is>
      </c>
      <c r="I2" s="36" t="inlineStr">
        <is>
          <t>2014/06</t>
        </is>
      </c>
      <c r="J2" s="36" t="inlineStr">
        <is>
          <t>2014/07</t>
        </is>
      </c>
      <c r="K2" s="36" t="inlineStr">
        <is>
          <t>2014/08</t>
        </is>
      </c>
      <c r="L2" s="36" t="inlineStr">
        <is>
          <t>2014/09</t>
        </is>
      </c>
      <c r="M2" s="36" t="inlineStr">
        <is>
          <t>2014/10</t>
        </is>
      </c>
      <c r="N2" s="36" t="inlineStr">
        <is>
          <t>2014/11</t>
        </is>
      </c>
      <c r="O2" s="36" t="inlineStr">
        <is>
          <t>2014/12</t>
        </is>
      </c>
      <c r="P2" s="36" t="inlineStr">
        <is>
          <t>2015/01</t>
        </is>
      </c>
      <c r="Q2" s="36" t="inlineStr">
        <is>
          <t>2015/02</t>
        </is>
      </c>
      <c r="R2" s="36" t="inlineStr">
        <is>
          <t>2015/03</t>
        </is>
      </c>
      <c r="S2" s="36" t="inlineStr">
        <is>
          <t>2015/04</t>
        </is>
      </c>
      <c r="T2" s="36" t="inlineStr">
        <is>
          <t>2015/05</t>
        </is>
      </c>
      <c r="U2" s="36" t="inlineStr">
        <is>
          <t>2015/06</t>
        </is>
      </c>
      <c r="V2" s="36" t="inlineStr">
        <is>
          <t>2015/07</t>
        </is>
      </c>
      <c r="W2" s="36" t="inlineStr">
        <is>
          <t>2015/08</t>
        </is>
      </c>
      <c r="X2" s="36" t="inlineStr">
        <is>
          <t>2015/09</t>
        </is>
      </c>
      <c r="Y2" s="36" t="inlineStr">
        <is>
          <t>2015/10</t>
        </is>
      </c>
      <c r="Z2" s="36" t="inlineStr">
        <is>
          <t>2015/11</t>
        </is>
      </c>
      <c r="AA2" s="36" t="inlineStr">
        <is>
          <t>2015/12</t>
        </is>
      </c>
      <c r="AB2" s="36" t="inlineStr">
        <is>
          <t>2016/01</t>
        </is>
      </c>
      <c r="AC2" s="36" t="inlineStr">
        <is>
          <t>2016/02</t>
        </is>
      </c>
      <c r="AD2" s="36" t="inlineStr">
        <is>
          <t>2016/03</t>
        </is>
      </c>
      <c r="AE2" s="36" t="inlineStr">
        <is>
          <t>2016/04</t>
        </is>
      </c>
      <c r="AF2" s="36" t="inlineStr">
        <is>
          <t>2016/05</t>
        </is>
      </c>
      <c r="AG2" s="36" t="inlineStr">
        <is>
          <t>2016/06</t>
        </is>
      </c>
      <c r="AH2" s="36" t="inlineStr">
        <is>
          <t>2016/07</t>
        </is>
      </c>
      <c r="AI2" s="36" t="inlineStr">
        <is>
          <t>2016/08</t>
        </is>
      </c>
      <c r="AJ2" s="36" t="inlineStr">
        <is>
          <t>2016/09</t>
        </is>
      </c>
      <c r="AK2" s="36" t="inlineStr">
        <is>
          <t>2016/10</t>
        </is>
      </c>
      <c r="AL2" s="36" t="inlineStr">
        <is>
          <t>2016/11</t>
        </is>
      </c>
      <c r="AM2" s="36" t="inlineStr">
        <is>
          <t>2016/12</t>
        </is>
      </c>
      <c r="AN2" s="36" t="inlineStr">
        <is>
          <t>2017/01</t>
        </is>
      </c>
      <c r="AO2" s="36" t="inlineStr">
        <is>
          <t>2017/02</t>
        </is>
      </c>
      <c r="AP2" s="36" t="inlineStr">
        <is>
          <t>2017/03</t>
        </is>
      </c>
      <c r="AQ2" s="36" t="inlineStr">
        <is>
          <t>2017/04</t>
        </is>
      </c>
      <c r="AR2" s="36" t="inlineStr">
        <is>
          <t>2017/05</t>
        </is>
      </c>
      <c r="AS2" s="36" t="inlineStr">
        <is>
          <t>2017/06</t>
        </is>
      </c>
      <c r="AT2" s="36" t="inlineStr">
        <is>
          <t>2017/07</t>
        </is>
      </c>
      <c r="AU2" s="36" t="inlineStr">
        <is>
          <t>2017/08</t>
        </is>
      </c>
      <c r="AV2" s="36" t="inlineStr">
        <is>
          <t>2017/09</t>
        </is>
      </c>
      <c r="AW2" s="36" t="inlineStr">
        <is>
          <t>2017/10</t>
        </is>
      </c>
      <c r="AX2" s="36" t="inlineStr">
        <is>
          <t>2017/11</t>
        </is>
      </c>
      <c r="AY2" s="36" t="inlineStr">
        <is>
          <t>2017/12</t>
        </is>
      </c>
      <c r="AZ2" s="36" t="inlineStr">
        <is>
          <t>2018/01</t>
        </is>
      </c>
      <c r="BA2" s="36" t="inlineStr">
        <is>
          <t>2018/02</t>
        </is>
      </c>
      <c r="BB2" s="36" t="inlineStr">
        <is>
          <t>2018/03</t>
        </is>
      </c>
      <c r="BC2" s="36" t="inlineStr">
        <is>
          <t>2018/04</t>
        </is>
      </c>
      <c r="BD2" s="36" t="inlineStr">
        <is>
          <t>2018/05</t>
        </is>
      </c>
      <c r="BE2" s="36" t="inlineStr">
        <is>
          <t>2018/06</t>
        </is>
      </c>
      <c r="BF2" s="36" t="inlineStr">
        <is>
          <t>2018/07</t>
        </is>
      </c>
      <c r="BG2" s="36" t="inlineStr">
        <is>
          <t>2018/08</t>
        </is>
      </c>
      <c r="BH2" s="36" t="inlineStr">
        <is>
          <t>2018/09</t>
        </is>
      </c>
      <c r="BI2" s="36" t="inlineStr">
        <is>
          <t>2018/10</t>
        </is>
      </c>
      <c r="BJ2" s="36" t="inlineStr">
        <is>
          <t>2018/11</t>
        </is>
      </c>
      <c r="BK2" s="36" t="inlineStr">
        <is>
          <t>2018/12</t>
        </is>
      </c>
      <c r="BL2" s="36" t="inlineStr">
        <is>
          <t>2019/01</t>
        </is>
      </c>
      <c r="BM2" s="36" t="inlineStr">
        <is>
          <t>2019/02</t>
        </is>
      </c>
      <c r="BN2" s="36" t="inlineStr">
        <is>
          <t>2019/03</t>
        </is>
      </c>
      <c r="BO2" s="36" t="inlineStr">
        <is>
          <t>2019/04</t>
        </is>
      </c>
      <c r="BP2" s="36" t="inlineStr">
        <is>
          <t>2019/05</t>
        </is>
      </c>
      <c r="BQ2" s="36" t="inlineStr">
        <is>
          <t>2019/06</t>
        </is>
      </c>
      <c r="BR2" s="36" t="inlineStr">
        <is>
          <t>2019/07</t>
        </is>
      </c>
      <c r="BS2" s="36" t="inlineStr">
        <is>
          <t>2019/08</t>
        </is>
      </c>
      <c r="BT2" s="36" t="inlineStr">
        <is>
          <t>2019/09</t>
        </is>
      </c>
      <c r="BU2" s="36" t="inlineStr">
        <is>
          <t>2019/10</t>
        </is>
      </c>
      <c r="BV2" s="36" t="inlineStr">
        <is>
          <t>2019/11</t>
        </is>
      </c>
      <c r="BW2" s="36" t="inlineStr">
        <is>
          <t>2019/12</t>
        </is>
      </c>
      <c r="BX2" s="36" t="inlineStr">
        <is>
          <t>2020/01</t>
        </is>
      </c>
      <c r="BY2" s="36" t="inlineStr">
        <is>
          <t>2020/02</t>
        </is>
      </c>
      <c r="BZ2" s="36" t="inlineStr">
        <is>
          <t>2020/03</t>
        </is>
      </c>
      <c r="CA2" s="36" t="inlineStr">
        <is>
          <t>2020/04</t>
        </is>
      </c>
      <c r="CB2" s="36" t="inlineStr">
        <is>
          <t>2020/05</t>
        </is>
      </c>
      <c r="CC2" s="36" t="inlineStr">
        <is>
          <t>2020/06</t>
        </is>
      </c>
      <c r="CD2" s="36" t="inlineStr">
        <is>
          <t>2020/07</t>
        </is>
      </c>
      <c r="CE2" s="36" t="inlineStr">
        <is>
          <t>2020/08</t>
        </is>
      </c>
      <c r="CF2" s="36" t="inlineStr">
        <is>
          <t>2020/09</t>
        </is>
      </c>
      <c r="CG2" s="36" t="inlineStr">
        <is>
          <t>2020/10</t>
        </is>
      </c>
      <c r="CH2" s="36" t="inlineStr">
        <is>
          <t>2020/11</t>
        </is>
      </c>
      <c r="CI2" s="36" t="inlineStr">
        <is>
          <t>2020/12</t>
        </is>
      </c>
      <c r="CJ2" s="36" t="inlineStr">
        <is>
          <t>2021/01</t>
        </is>
      </c>
      <c r="CK2" s="36" t="inlineStr">
        <is>
          <t>2021/02</t>
        </is>
      </c>
      <c r="CL2" s="36" t="inlineStr">
        <is>
          <t>2021/03</t>
        </is>
      </c>
      <c r="CM2" s="36" t="inlineStr">
        <is>
          <t>2021/04</t>
        </is>
      </c>
      <c r="CN2" s="36" t="inlineStr">
        <is>
          <t>2021/05</t>
        </is>
      </c>
      <c r="CO2" s="36" t="inlineStr">
        <is>
          <t>2021/06</t>
        </is>
      </c>
      <c r="CP2" s="36" t="inlineStr">
        <is>
          <t>2021/07</t>
        </is>
      </c>
      <c r="CQ2" s="36" t="inlineStr">
        <is>
          <t>2021/08</t>
        </is>
      </c>
      <c r="CR2" s="36" t="inlineStr">
        <is>
          <t>2021/09</t>
        </is>
      </c>
      <c r="CS2" s="36" t="inlineStr">
        <is>
          <t>2021/10</t>
        </is>
      </c>
      <c r="CT2" s="36" t="inlineStr">
        <is>
          <t>2021/11</t>
        </is>
      </c>
      <c r="CU2" s="36" t="inlineStr">
        <is>
          <t>2021/12</t>
        </is>
      </c>
      <c r="CV2" s="36" t="inlineStr">
        <is>
          <t>2022/01</t>
        </is>
      </c>
      <c r="CW2" s="36" t="inlineStr">
        <is>
          <t>2022/02</t>
        </is>
      </c>
      <c r="CX2" s="36" t="inlineStr">
        <is>
          <t>2022/03</t>
        </is>
      </c>
      <c r="CY2" s="36" t="inlineStr">
        <is>
          <t>2022/04</t>
        </is>
      </c>
      <c r="CZ2" s="36" t="inlineStr">
        <is>
          <t>2022/05</t>
        </is>
      </c>
      <c r="DA2" s="36" t="inlineStr">
        <is>
          <t>2022/06</t>
        </is>
      </c>
      <c r="DB2" s="36" t="inlineStr">
        <is>
          <t>2022/07</t>
        </is>
      </c>
      <c r="DC2" s="36" t="inlineStr">
        <is>
          <t>2022/08</t>
        </is>
      </c>
      <c r="DD2" s="36" t="inlineStr">
        <is>
          <t>2022/09</t>
        </is>
      </c>
      <c r="DE2" s="36" t="inlineStr">
        <is>
          <t>2022/10</t>
        </is>
      </c>
      <c r="DF2" s="36" t="inlineStr">
        <is>
          <t>2022/11</t>
        </is>
      </c>
      <c r="DG2" s="36" t="inlineStr">
        <is>
          <t>2022/12</t>
        </is>
      </c>
      <c r="DH2" s="36" t="inlineStr">
        <is>
          <t>2023/01</t>
        </is>
      </c>
      <c r="DI2" s="36" t="inlineStr">
        <is>
          <t>2023/02</t>
        </is>
      </c>
      <c r="DJ2" s="36" t="inlineStr">
        <is>
          <t>2023/03</t>
        </is>
      </c>
      <c r="DK2" s="36" t="inlineStr">
        <is>
          <t>2023/04</t>
        </is>
      </c>
      <c r="DL2" s="36" t="inlineStr">
        <is>
          <t>2023/05</t>
        </is>
      </c>
      <c r="DM2" s="36" t="inlineStr">
        <is>
          <t>2023/06</t>
        </is>
      </c>
      <c r="DN2" s="36" t="inlineStr">
        <is>
          <t>2023/07</t>
        </is>
      </c>
      <c r="DO2" s="36" t="inlineStr">
        <is>
          <t>2023/08</t>
        </is>
      </c>
      <c r="DP2" s="36" t="inlineStr">
        <is>
          <t>2023/09</t>
        </is>
      </c>
      <c r="DQ2" s="36" t="inlineStr">
        <is>
          <t>2023/10</t>
        </is>
      </c>
      <c r="DR2" s="36" t="inlineStr">
        <is>
          <t>2023/11</t>
        </is>
      </c>
      <c r="DS2" s="36" t="inlineStr">
        <is>
          <t>2023/12</t>
        </is>
      </c>
      <c r="DT2" s="36" t="inlineStr">
        <is>
          <t>2024/01</t>
        </is>
      </c>
      <c r="DU2" s="36" t="inlineStr">
        <is>
          <t>2024/02</t>
        </is>
      </c>
      <c r="DV2" s="36" t="inlineStr">
        <is>
          <t>2024/03</t>
        </is>
      </c>
      <c r="DW2" s="36" t="inlineStr">
        <is>
          <t>2024/04</t>
        </is>
      </c>
      <c r="DX2" s="36" t="inlineStr">
        <is>
          <t>2024/05</t>
        </is>
      </c>
      <c r="DY2" s="36" t="inlineStr">
        <is>
          <t>2024/06</t>
        </is>
      </c>
      <c r="DZ2" s="36" t="inlineStr">
        <is>
          <t>2024/07</t>
        </is>
      </c>
      <c r="EA2" s="36" t="inlineStr">
        <is>
          <t>2024/08</t>
        </is>
      </c>
      <c r="EB2" s="36" t="inlineStr">
        <is>
          <t>2024/09</t>
        </is>
      </c>
      <c r="EC2" s="36" t="inlineStr">
        <is>
          <t>2024/10</t>
        </is>
      </c>
      <c r="ED2" s="36" t="inlineStr">
        <is>
          <t>2024/11</t>
        </is>
      </c>
      <c r="EE2" s="36" t="inlineStr">
        <is>
          <t>2024/12</t>
        </is>
      </c>
      <c r="EF2" s="36" t="inlineStr">
        <is>
          <t>2025/01</t>
        </is>
      </c>
    </row>
    <row r="3" ht="16.2" customHeight="1" s="54" thickBot="1">
      <c r="A3" s="35" t="n"/>
      <c r="B3" s="36" t="inlineStr">
        <is>
          <t>bm</t>
        </is>
      </c>
      <c r="C3" s="37" t="n">
        <v>0.07879899999999999</v>
      </c>
      <c r="D3" s="37" t="n">
        <v>0.179733</v>
      </c>
      <c r="E3" s="37" t="n">
        <v>0.015489</v>
      </c>
      <c r="F3" s="37" t="n">
        <v>-0.022168</v>
      </c>
      <c r="G3" s="37" t="n">
        <v>-0.008104</v>
      </c>
      <c r="H3" s="37" t="n">
        <v>-0.015401</v>
      </c>
      <c r="I3" s="37" t="n">
        <v>-0.196766</v>
      </c>
      <c r="J3" s="37" t="n">
        <v>0.27883</v>
      </c>
      <c r="K3" s="37" t="n">
        <v>-0.005693</v>
      </c>
      <c r="L3" s="37" t="n">
        <v>-0.04789</v>
      </c>
      <c r="M3" s="37" t="n">
        <v>-0.00527</v>
      </c>
      <c r="N3" s="37" t="n">
        <v>-0.19107</v>
      </c>
      <c r="O3" s="37" t="n">
        <v>0.310847</v>
      </c>
      <c r="P3" s="37" t="n">
        <v>0.113771</v>
      </c>
      <c r="Q3" s="37" t="n">
        <v>-0.123071</v>
      </c>
      <c r="R3" s="37" t="n">
        <v>-0.112558</v>
      </c>
      <c r="S3" s="37" t="n">
        <v>0.104666</v>
      </c>
      <c r="T3" s="37" t="n">
        <v>-0.144585</v>
      </c>
      <c r="U3" s="37" t="n">
        <v>-0.262808</v>
      </c>
      <c r="V3" s="37" t="n">
        <v>0.003019</v>
      </c>
      <c r="W3" s="37" t="n">
        <v>0.13196</v>
      </c>
      <c r="X3" s="37" t="n">
        <v>-0.08941499999999999</v>
      </c>
      <c r="Y3" s="37" t="n">
        <v>0.279063</v>
      </c>
      <c r="Z3" s="37" t="n">
        <v>0.10309</v>
      </c>
      <c r="AA3" s="37" t="n">
        <v>0.486377</v>
      </c>
      <c r="AB3" s="37" t="n">
        <v>-0.23482</v>
      </c>
      <c r="AC3" s="37" t="n">
        <v>0.012097</v>
      </c>
      <c r="AD3" s="37" t="n">
        <v>0.024632</v>
      </c>
      <c r="AE3" s="37" t="n">
        <v>-0.005668</v>
      </c>
      <c r="AF3" s="37" t="n">
        <v>-0.056269</v>
      </c>
      <c r="AG3" s="37" t="n">
        <v>0.122405</v>
      </c>
      <c r="AH3" s="37" t="n">
        <v>0.043997</v>
      </c>
      <c r="AI3" s="37" t="n">
        <v>0.162268</v>
      </c>
      <c r="AJ3" s="37" t="n">
        <v>0.06893000000000001</v>
      </c>
      <c r="AK3" s="37" t="n">
        <v>0.08735999999999999</v>
      </c>
      <c r="AL3" s="37" t="n">
        <v>0.187381</v>
      </c>
      <c r="AM3" s="37" t="n">
        <v>0.09683700000000001</v>
      </c>
      <c r="AN3" s="37" t="n">
        <v>0.207574</v>
      </c>
      <c r="AO3" s="37" t="n">
        <v>0.117976</v>
      </c>
      <c r="AP3" s="37" t="n">
        <v>-0.028504</v>
      </c>
      <c r="AQ3" s="37" t="n">
        <v>-0.21144</v>
      </c>
      <c r="AR3" s="37" t="n">
        <v>-0.032303</v>
      </c>
      <c r="AS3" s="37" t="n">
        <v>0.14111</v>
      </c>
      <c r="AT3" s="37" t="n">
        <v>-0.034808</v>
      </c>
      <c r="AU3" s="37" t="n">
        <v>0.044456</v>
      </c>
      <c r="AV3" s="37" t="n">
        <v>0.021163</v>
      </c>
      <c r="AW3" s="37" t="n">
        <v>-0.174155</v>
      </c>
      <c r="AX3" s="37" t="n">
        <v>0.076318</v>
      </c>
      <c r="AY3" s="37" t="n">
        <v>0.009031000000000001</v>
      </c>
      <c r="AZ3" s="37" t="n">
        <v>0.016639</v>
      </c>
      <c r="BA3" s="37" t="n">
        <v>0.1605</v>
      </c>
      <c r="BB3" s="37" t="n">
        <v>-0.123741</v>
      </c>
      <c r="BC3" s="37" t="n">
        <v>0.156737</v>
      </c>
      <c r="BD3" s="37" t="n">
        <v>0.166883</v>
      </c>
      <c r="BE3" s="37" t="n">
        <v>-0.131472</v>
      </c>
      <c r="BF3" s="37" t="n">
        <v>0.009950000000000001</v>
      </c>
      <c r="BG3" s="37" t="n">
        <v>0.315311</v>
      </c>
      <c r="BH3" s="37" t="n">
        <v>0.270101</v>
      </c>
      <c r="BI3" s="37" t="n">
        <v>0.056315</v>
      </c>
      <c r="BJ3" s="37" t="n">
        <v>-0.00241</v>
      </c>
      <c r="BK3" s="37" t="n">
        <v>0.0798</v>
      </c>
      <c r="BL3" s="37" t="n">
        <v>-0.023392</v>
      </c>
      <c r="BM3" s="37" t="n">
        <v>0.094009</v>
      </c>
      <c r="BN3" s="37" t="n">
        <v>0.017644</v>
      </c>
      <c r="BO3" s="37" t="n">
        <v>-0.149288</v>
      </c>
      <c r="BP3" s="37" t="n">
        <v>0.041226</v>
      </c>
      <c r="BQ3" s="37" t="n">
        <v>-0.082741</v>
      </c>
      <c r="BR3" s="37" t="n">
        <v>0.213465</v>
      </c>
      <c r="BS3" s="37" t="n">
        <v>-0.067985</v>
      </c>
      <c r="BT3" s="37" t="n">
        <v>0.14435</v>
      </c>
      <c r="BU3" s="37" t="n">
        <v>0.113779</v>
      </c>
      <c r="BV3" s="37" t="n">
        <v>0.005601</v>
      </c>
      <c r="BW3" s="37" t="n">
        <v>0.113147</v>
      </c>
      <c r="BX3" s="37" t="n">
        <v>-0.090571</v>
      </c>
      <c r="BY3" s="37" t="n">
        <v>0.11857</v>
      </c>
      <c r="BZ3" s="37" t="n">
        <v>-0.140713</v>
      </c>
      <c r="CA3" s="37" t="n">
        <v>0.073473</v>
      </c>
      <c r="CB3" s="37" t="n">
        <v>-0.171026</v>
      </c>
      <c r="CC3" s="37" t="n">
        <v>0.086732</v>
      </c>
      <c r="CD3" s="37" t="n">
        <v>0.031268</v>
      </c>
      <c r="CE3" s="37" t="n">
        <v>0.218797</v>
      </c>
      <c r="CF3" s="37" t="n">
        <v>-0.141595</v>
      </c>
      <c r="CG3" s="37" t="n">
        <v>0.099732</v>
      </c>
      <c r="CH3" s="37" t="n">
        <v>0.045308</v>
      </c>
      <c r="CI3" s="37" t="n">
        <v>0.08944100000000001</v>
      </c>
      <c r="CJ3" s="37" t="n">
        <v>-0.391113</v>
      </c>
      <c r="CK3" s="37" t="n">
        <v>-0.109791</v>
      </c>
      <c r="CL3" s="37" t="n">
        <v>-0.043456</v>
      </c>
      <c r="CM3" s="37" t="n">
        <v>0.183112</v>
      </c>
      <c r="CN3" s="37" t="n">
        <v>-0.397462</v>
      </c>
      <c r="CO3" s="37" t="n">
        <v>-0.09693</v>
      </c>
      <c r="CP3" s="37" t="n">
        <v>-0.095682</v>
      </c>
      <c r="CQ3" s="37" t="n">
        <v>0.171975</v>
      </c>
      <c r="CR3" s="37" t="n">
        <v>0.061939</v>
      </c>
      <c r="CS3" s="37" t="n">
        <v>-0.047664</v>
      </c>
      <c r="CT3" s="37" t="n">
        <v>-0.010474</v>
      </c>
      <c r="CU3" s="37" t="n">
        <v>-0.034401</v>
      </c>
      <c r="CV3" s="37" t="n">
        <v>-0.022584</v>
      </c>
      <c r="CW3" s="37" t="n">
        <v>0.039676</v>
      </c>
      <c r="CX3" s="37" t="n">
        <v>-0.053905</v>
      </c>
      <c r="CY3" s="37" t="n">
        <v>0.027222</v>
      </c>
      <c r="CZ3" s="37" t="n">
        <v>0.09887799999999999</v>
      </c>
      <c r="DA3" s="37" t="n">
        <v>0.312541</v>
      </c>
      <c r="DB3" s="37" t="n">
        <v>-0.155646</v>
      </c>
      <c r="DC3" s="37" t="n">
        <v>-0.186959</v>
      </c>
      <c r="DD3" s="37" t="n">
        <v>-0.168523</v>
      </c>
      <c r="DE3" s="37" t="n">
        <v>0.167798</v>
      </c>
      <c r="DF3" s="37" t="n">
        <v>-0.091638</v>
      </c>
      <c r="DG3" s="37" t="n">
        <v>-0.075709</v>
      </c>
      <c r="DH3" s="37" t="n">
        <v>0.007796</v>
      </c>
      <c r="DI3" s="37" t="n">
        <v>-0.00255</v>
      </c>
      <c r="DJ3" s="37" t="n">
        <v>-0.06898799999999999</v>
      </c>
      <c r="DK3" s="37" t="n">
        <v>0.046125</v>
      </c>
      <c r="DL3" s="37" t="n">
        <v>-0.058338</v>
      </c>
      <c r="DM3" s="37" t="n">
        <v>-0.070566</v>
      </c>
      <c r="DN3" s="37" t="n">
        <v>0.028093</v>
      </c>
      <c r="DO3" s="37" t="n">
        <v>-0.070883</v>
      </c>
      <c r="DP3" s="37" t="n">
        <v>0.161131</v>
      </c>
      <c r="DQ3" s="37" t="n">
        <v>0.154744</v>
      </c>
      <c r="DR3" s="37" t="n">
        <v>-0.107425</v>
      </c>
      <c r="DS3" s="37" t="n">
        <v>0.112842</v>
      </c>
      <c r="DT3" s="37" t="n">
        <v>-0.091402</v>
      </c>
      <c r="DU3" s="37" t="n">
        <v>-0.065442</v>
      </c>
      <c r="DV3" s="37" t="n">
        <v>-0.07375900000000001</v>
      </c>
      <c r="DW3" s="37" t="n">
        <v>0.06615600000000001</v>
      </c>
      <c r="DX3" s="37" t="n">
        <v>0.06941700000000001</v>
      </c>
      <c r="DY3" s="37" t="n">
        <v>-0.102992</v>
      </c>
      <c r="DZ3" s="37" t="n">
        <v>0.263913</v>
      </c>
      <c r="EA3" s="37" t="n">
        <v>-0.08975900000000001</v>
      </c>
      <c r="EB3" s="37" t="n">
        <v>0.194325</v>
      </c>
      <c r="EC3" s="37" t="n">
        <v>-0.030097</v>
      </c>
      <c r="ED3" s="37" t="n">
        <v>0.028618</v>
      </c>
      <c r="EE3" s="37" t="n">
        <v>-0.08737200000000001</v>
      </c>
      <c r="EF3" s="37" t="n">
        <v>-0.020976</v>
      </c>
    </row>
    <row r="4" ht="16.2" customHeight="1" s="54" thickBot="1">
      <c r="A4" s="35" t="n"/>
      <c r="B4" s="36" t="inlineStr">
        <is>
          <t>size</t>
        </is>
      </c>
      <c r="C4" s="37" t="n">
        <v>-0.203737</v>
      </c>
      <c r="D4" s="37" t="n">
        <v>-0.196253</v>
      </c>
      <c r="E4" s="37" t="n">
        <v>-0.254159</v>
      </c>
      <c r="F4" s="37" t="n">
        <v>0.046204</v>
      </c>
      <c r="G4" s="37" t="n">
        <v>0.030789</v>
      </c>
      <c r="H4" s="37" t="n">
        <v>-0.051609</v>
      </c>
      <c r="I4" s="37" t="n">
        <v>0.001151</v>
      </c>
      <c r="J4" s="37" t="n">
        <v>0.048763</v>
      </c>
      <c r="K4" s="37" t="n">
        <v>-0.101982</v>
      </c>
      <c r="L4" s="37" t="n">
        <v>-0.018322</v>
      </c>
      <c r="M4" s="37" t="n">
        <v>-0.054834</v>
      </c>
      <c r="N4" s="37" t="n">
        <v>-0.03015</v>
      </c>
      <c r="O4" s="37" t="n">
        <v>-0.186727</v>
      </c>
      <c r="P4" s="37" t="n">
        <v>0.030188</v>
      </c>
      <c r="Q4" s="37" t="n">
        <v>0.09789</v>
      </c>
      <c r="R4" s="37" t="n">
        <v>-0.093808</v>
      </c>
      <c r="S4" s="37" t="n">
        <v>0.022756</v>
      </c>
      <c r="T4" s="37" t="n">
        <v>0.073507</v>
      </c>
      <c r="U4" s="37" t="n">
        <v>0.006855</v>
      </c>
      <c r="V4" s="37" t="n">
        <v>-0.021639</v>
      </c>
      <c r="W4" s="37" t="n">
        <v>-0.006039</v>
      </c>
      <c r="X4" s="37" t="n">
        <v>-0.169731</v>
      </c>
      <c r="Y4" s="37" t="n">
        <v>-0.233653</v>
      </c>
      <c r="Z4" s="37" t="n">
        <v>-0.009998</v>
      </c>
      <c r="AA4" s="37" t="n">
        <v>-0.002435</v>
      </c>
      <c r="AB4" s="37" t="n">
        <v>-0.163808</v>
      </c>
      <c r="AC4" s="37" t="n">
        <v>-0.06540600000000001</v>
      </c>
      <c r="AD4" s="37" t="n">
        <v>-0.053692</v>
      </c>
      <c r="AE4" s="37" t="n">
        <v>0.043446</v>
      </c>
      <c r="AF4" s="37" t="n">
        <v>0.080856</v>
      </c>
      <c r="AG4" s="37" t="n">
        <v>-0.10082</v>
      </c>
      <c r="AH4" s="37" t="n">
        <v>0.118548</v>
      </c>
      <c r="AI4" s="37" t="n">
        <v>-0.086918</v>
      </c>
      <c r="AJ4" s="37" t="n">
        <v>-0.096715</v>
      </c>
      <c r="AK4" s="37" t="n">
        <v>0.077115</v>
      </c>
      <c r="AL4" s="37" t="n">
        <v>0.019376</v>
      </c>
      <c r="AM4" s="37" t="n">
        <v>-0.006685</v>
      </c>
      <c r="AN4" s="37" t="n">
        <v>0.011433</v>
      </c>
      <c r="AO4" s="37" t="n">
        <v>-0.044565</v>
      </c>
      <c r="AP4" s="37" t="n">
        <v>0.079751</v>
      </c>
      <c r="AQ4" s="37" t="n">
        <v>-0.090693</v>
      </c>
      <c r="AR4" s="37" t="n">
        <v>0.114431</v>
      </c>
      <c r="AS4" s="37" t="n">
        <v>0.08229599999999999</v>
      </c>
      <c r="AT4" s="37" t="n">
        <v>0.010312</v>
      </c>
      <c r="AU4" s="37" t="n">
        <v>-0.03371</v>
      </c>
      <c r="AV4" s="37" t="n">
        <v>-0.217699</v>
      </c>
      <c r="AW4" s="37" t="n">
        <v>0.052457</v>
      </c>
      <c r="AX4" s="37" t="n">
        <v>0.013927</v>
      </c>
      <c r="AY4" s="37" t="n">
        <v>0.105011</v>
      </c>
      <c r="AZ4" s="37" t="n">
        <v>0.017529</v>
      </c>
      <c r="BA4" s="37" t="n">
        <v>-0.154326</v>
      </c>
      <c r="BB4" s="37" t="n">
        <v>-0.252464</v>
      </c>
      <c r="BC4" s="37" t="n">
        <v>-0.149872</v>
      </c>
      <c r="BD4" s="37" t="n">
        <v>-0.022774</v>
      </c>
      <c r="BE4" s="37" t="n">
        <v>-0.031425</v>
      </c>
      <c r="BF4" s="37" t="n">
        <v>0.123277</v>
      </c>
      <c r="BG4" s="37" t="n">
        <v>-0.075331</v>
      </c>
      <c r="BH4" s="37" t="n">
        <v>-0.064737</v>
      </c>
      <c r="BI4" s="37" t="n">
        <v>0.018214</v>
      </c>
      <c r="BJ4" s="37" t="n">
        <v>-0.150851</v>
      </c>
      <c r="BK4" s="37" t="n">
        <v>-0.058953</v>
      </c>
      <c r="BL4" s="37" t="n">
        <v>-0.047774</v>
      </c>
      <c r="BM4" s="37" t="n">
        <v>0.020342</v>
      </c>
      <c r="BN4" s="37" t="n">
        <v>0.040714</v>
      </c>
      <c r="BO4" s="37" t="n">
        <v>0.045215</v>
      </c>
      <c r="BP4" s="37" t="n">
        <v>0.08362700000000001</v>
      </c>
      <c r="BQ4" s="37" t="n">
        <v>0.030825</v>
      </c>
      <c r="BR4" s="37" t="n">
        <v>-0.115455</v>
      </c>
      <c r="BS4" s="37" t="n">
        <v>-0.019265</v>
      </c>
      <c r="BT4" s="37" t="n">
        <v>-0.034112</v>
      </c>
      <c r="BU4" s="37" t="n">
        <v>-0.04527</v>
      </c>
      <c r="BV4" s="37" t="n">
        <v>0.171973</v>
      </c>
      <c r="BW4" s="37" t="n">
        <v>-0.100291</v>
      </c>
      <c r="BX4" s="37" t="n">
        <v>-0.06804499999999999</v>
      </c>
      <c r="BY4" s="37" t="n">
        <v>-0.182695</v>
      </c>
      <c r="BZ4" s="37" t="n">
        <v>0.085574</v>
      </c>
      <c r="CA4" s="37" t="n">
        <v>0.009991</v>
      </c>
      <c r="CB4" s="37" t="n">
        <v>0.198019</v>
      </c>
      <c r="CC4" s="37" t="n">
        <v>-0.294464</v>
      </c>
      <c r="CD4" s="37" t="n">
        <v>-0.131849</v>
      </c>
      <c r="CE4" s="37" t="n">
        <v>-0.059049</v>
      </c>
      <c r="CF4" s="37" t="n">
        <v>-0.113821</v>
      </c>
      <c r="CG4" s="37" t="n">
        <v>0.056476</v>
      </c>
      <c r="CH4" s="37" t="n">
        <v>-0.004728</v>
      </c>
      <c r="CI4" s="37" t="n">
        <v>0.08406</v>
      </c>
      <c r="CJ4" s="37" t="n">
        <v>0.028606</v>
      </c>
      <c r="CK4" s="37" t="n">
        <v>-0.02196</v>
      </c>
      <c r="CL4" s="37" t="n">
        <v>-0.067871</v>
      </c>
      <c r="CM4" s="37" t="n">
        <v>0.04007</v>
      </c>
      <c r="CN4" s="37" t="n">
        <v>0.18816</v>
      </c>
      <c r="CO4" s="37" t="n">
        <v>0.002367</v>
      </c>
      <c r="CP4" s="37" t="n">
        <v>0.019451</v>
      </c>
      <c r="CQ4" s="37" t="n">
        <v>-0.030617</v>
      </c>
      <c r="CR4" s="37" t="n">
        <v>-0.287611</v>
      </c>
      <c r="CS4" s="37" t="n">
        <v>-0.279011</v>
      </c>
      <c r="CT4" s="37" t="n">
        <v>0.082167</v>
      </c>
      <c r="CU4" s="37" t="n">
        <v>-0.104495</v>
      </c>
      <c r="CV4" s="37" t="n">
        <v>0.11175</v>
      </c>
      <c r="CW4" s="37" t="n">
        <v>-0.050011</v>
      </c>
      <c r="CX4" s="37" t="n">
        <v>0.05921</v>
      </c>
      <c r="CY4" s="37" t="n">
        <v>-0.174711</v>
      </c>
      <c r="CZ4" s="37" t="n">
        <v>-0.131097</v>
      </c>
      <c r="DA4" s="37" t="n">
        <v>-0.220326</v>
      </c>
      <c r="DB4" s="37" t="n">
        <v>-0.051224</v>
      </c>
      <c r="DC4" s="37" t="n">
        <v>-0.142794</v>
      </c>
      <c r="DD4" s="37" t="n">
        <v>0.10209</v>
      </c>
      <c r="DE4" s="37" t="n">
        <v>0.044656</v>
      </c>
      <c r="DF4" s="37" t="n">
        <v>0.056233</v>
      </c>
      <c r="DG4" s="37" t="n">
        <v>-0.141682</v>
      </c>
      <c r="DH4" s="37" t="n">
        <v>0.157626</v>
      </c>
      <c r="DI4" s="37" t="n">
        <v>-0.062036</v>
      </c>
      <c r="DJ4" s="37" t="n">
        <v>-0.119679</v>
      </c>
      <c r="DK4" s="37" t="n">
        <v>-0.163693</v>
      </c>
      <c r="DL4" s="37" t="n">
        <v>0.09443</v>
      </c>
      <c r="DM4" s="37" t="n">
        <v>0.23372</v>
      </c>
      <c r="DN4" s="37" t="n">
        <v>0.073797</v>
      </c>
      <c r="DO4" s="37" t="n">
        <v>-0.045813</v>
      </c>
      <c r="DP4" s="37" t="n">
        <v>-0.06830799999999999</v>
      </c>
      <c r="DQ4" s="37" t="n">
        <v>-0.169306</v>
      </c>
      <c r="DR4" s="37" t="n">
        <v>-0.129244</v>
      </c>
      <c r="DS4" s="37" t="n">
        <v>-0.07388699999999999</v>
      </c>
      <c r="DT4" s="37" t="n">
        <v>-0.203706</v>
      </c>
      <c r="DU4" s="37" t="n">
        <v>-0.054892</v>
      </c>
      <c r="DV4" s="37" t="n">
        <v>0.012037</v>
      </c>
      <c r="DW4" s="37" t="n">
        <v>-0.00613</v>
      </c>
      <c r="DX4" s="37" t="n">
        <v>-0.0849</v>
      </c>
      <c r="DY4" s="37" t="n">
        <v>0.100007</v>
      </c>
      <c r="DZ4" s="37" t="n">
        <v>-0.13106</v>
      </c>
      <c r="EA4" s="37" t="n">
        <v>-0.194881</v>
      </c>
      <c r="EB4" s="37" t="n">
        <v>-0.319798</v>
      </c>
      <c r="EC4" s="37" t="n">
        <v>0.049837</v>
      </c>
      <c r="ED4" s="37" t="n">
        <v>0.054628</v>
      </c>
      <c r="EE4" s="37" t="n">
        <v>0.120046</v>
      </c>
      <c r="EF4" s="37" t="n">
        <v>0.243811</v>
      </c>
    </row>
    <row r="5" ht="16.2" customHeight="1" s="54" thickBot="1">
      <c r="A5" s="35" t="n"/>
      <c r="B5" s="38" t="inlineStr">
        <is>
          <t>mom</t>
        </is>
      </c>
      <c r="C5" s="37" t="n">
        <v>-0.209358</v>
      </c>
      <c r="D5" s="37" t="n">
        <v>-0.107363</v>
      </c>
      <c r="E5" s="37" t="n">
        <v>0.524848</v>
      </c>
      <c r="F5" s="37" t="n">
        <v>0.046837</v>
      </c>
      <c r="G5" s="37" t="n">
        <v>-0.210471</v>
      </c>
      <c r="H5" s="37" t="n">
        <v>0.474415</v>
      </c>
      <c r="I5" s="37" t="n">
        <v>0.146785</v>
      </c>
      <c r="J5" s="37" t="n">
        <v>-0.056232</v>
      </c>
      <c r="K5" s="37" t="n">
        <v>0.275528</v>
      </c>
      <c r="L5" s="37" t="n">
        <v>-0.430043</v>
      </c>
      <c r="M5" s="37" t="n">
        <v>0.323768</v>
      </c>
      <c r="N5" s="37" t="n">
        <v>-0.348242</v>
      </c>
      <c r="O5" s="37" t="n">
        <v>-0.097529</v>
      </c>
      <c r="P5" s="37" t="n">
        <v>0.395466</v>
      </c>
      <c r="Q5" s="37" t="n">
        <v>0.048467</v>
      </c>
      <c r="R5" s="37" t="n">
        <v>-0.09885099999999999</v>
      </c>
      <c r="S5" s="37" t="n">
        <v>0.305792</v>
      </c>
      <c r="T5" s="37" t="n">
        <v>0.072072</v>
      </c>
      <c r="U5" s="37" t="n">
        <v>-0.000479</v>
      </c>
      <c r="V5" s="37" t="n">
        <v>-0.139367</v>
      </c>
      <c r="W5" s="37" t="n">
        <v>-0.39469</v>
      </c>
      <c r="X5" s="37" t="n">
        <v>-0.129478</v>
      </c>
      <c r="Y5" s="37" t="n">
        <v>-0.681273</v>
      </c>
      <c r="Z5" s="37" t="n">
        <v>-0.004172</v>
      </c>
      <c r="AA5" s="37" t="n">
        <v>0.018198</v>
      </c>
      <c r="AB5" s="37" t="n">
        <v>0.201122</v>
      </c>
      <c r="AC5" s="37" t="n">
        <v>-0.08916300000000001</v>
      </c>
      <c r="AD5" s="37" t="n">
        <v>0.145141</v>
      </c>
      <c r="AE5" s="37" t="n">
        <v>0.074669</v>
      </c>
      <c r="AF5" s="37" t="n">
        <v>0.17577</v>
      </c>
      <c r="AG5" s="37" t="n">
        <v>-0.30336</v>
      </c>
      <c r="AH5" s="37" t="n">
        <v>-0.34825</v>
      </c>
      <c r="AI5" s="37" t="n">
        <v>0.258724</v>
      </c>
      <c r="AJ5" s="37" t="n">
        <v>-0.488892</v>
      </c>
      <c r="AK5" s="37" t="n">
        <v>0.132548</v>
      </c>
      <c r="AL5" s="37" t="n">
        <v>-0.02379</v>
      </c>
      <c r="AM5" s="37" t="n">
        <v>0.011752</v>
      </c>
      <c r="AN5" s="37" t="n">
        <v>-0.074933</v>
      </c>
      <c r="AO5" s="37" t="n">
        <v>0.184463</v>
      </c>
      <c r="AP5" s="37" t="n">
        <v>0.032348</v>
      </c>
      <c r="AQ5" s="37" t="n">
        <v>0.151198</v>
      </c>
      <c r="AR5" s="37" t="n">
        <v>-0.09528300000000001</v>
      </c>
      <c r="AS5" s="37" t="n">
        <v>-0.126004</v>
      </c>
      <c r="AT5" s="37" t="n">
        <v>0.151645</v>
      </c>
      <c r="AU5" s="37" t="n">
        <v>-0.200837</v>
      </c>
      <c r="AV5" s="37" t="n">
        <v>0.078906</v>
      </c>
      <c r="AW5" s="37" t="n">
        <v>0.000679</v>
      </c>
      <c r="AX5" s="37" t="n">
        <v>0.112293</v>
      </c>
      <c r="AY5" s="37" t="n">
        <v>-0.118056</v>
      </c>
      <c r="AZ5" s="37" t="n">
        <v>0.20622</v>
      </c>
      <c r="BA5" s="37" t="n">
        <v>-0.039692</v>
      </c>
      <c r="BB5" s="37" t="n">
        <v>0.082996</v>
      </c>
      <c r="BC5" s="37" t="n">
        <v>-0.130005</v>
      </c>
      <c r="BD5" s="37" t="n">
        <v>-0.106316</v>
      </c>
      <c r="BE5" s="37" t="n">
        <v>0.115933</v>
      </c>
      <c r="BF5" s="37" t="n">
        <v>-0.285262</v>
      </c>
      <c r="BG5" s="37" t="n">
        <v>-0.150933</v>
      </c>
      <c r="BH5" s="37" t="n">
        <v>0.00292</v>
      </c>
      <c r="BI5" s="37" t="n">
        <v>0.058127</v>
      </c>
      <c r="BJ5" s="37" t="n">
        <v>-0.25987</v>
      </c>
      <c r="BK5" s="37" t="n">
        <v>0.184879</v>
      </c>
      <c r="BL5" s="37" t="n">
        <v>-0.269132</v>
      </c>
      <c r="BM5" s="37" t="n">
        <v>0.171738</v>
      </c>
      <c r="BN5" s="37" t="n">
        <v>-0.180922</v>
      </c>
      <c r="BO5" s="37" t="n">
        <v>-0.063204</v>
      </c>
      <c r="BP5" s="37" t="n">
        <v>0.071868</v>
      </c>
      <c r="BQ5" s="37" t="n">
        <v>-0.16861</v>
      </c>
      <c r="BR5" s="37" t="n">
        <v>-0.025448</v>
      </c>
      <c r="BS5" s="37" t="n">
        <v>0.124424</v>
      </c>
      <c r="BT5" s="37" t="n">
        <v>0.207722</v>
      </c>
      <c r="BU5" s="37" t="n">
        <v>-0.060051</v>
      </c>
      <c r="BV5" s="37" t="n">
        <v>-0.0517</v>
      </c>
      <c r="BW5" s="37" t="n">
        <v>-0.126802</v>
      </c>
      <c r="BX5" s="37" t="n">
        <v>-0.10582</v>
      </c>
      <c r="BY5" s="37" t="n">
        <v>0.053607</v>
      </c>
      <c r="BZ5" s="37" t="n">
        <v>-0.034479</v>
      </c>
      <c r="CA5" s="37" t="n">
        <v>-0.020066</v>
      </c>
      <c r="CB5" s="37" t="n">
        <v>0.08459</v>
      </c>
      <c r="CC5" s="37" t="n">
        <v>-0.110384</v>
      </c>
      <c r="CD5" s="37" t="n">
        <v>0.327423</v>
      </c>
      <c r="CE5" s="37" t="n">
        <v>-0.014867</v>
      </c>
      <c r="CF5" s="37" t="n">
        <v>-0.149373</v>
      </c>
      <c r="CG5" s="37" t="n">
        <v>0.1632</v>
      </c>
      <c r="CH5" s="37" t="n">
        <v>-0.069038</v>
      </c>
      <c r="CI5" s="37" t="n">
        <v>-0.115362</v>
      </c>
      <c r="CJ5" s="37" t="n">
        <v>-0.263017</v>
      </c>
      <c r="CK5" s="37" t="n">
        <v>0.378974</v>
      </c>
      <c r="CL5" s="37" t="n">
        <v>-0.07638300000000001</v>
      </c>
      <c r="CM5" s="37" t="n">
        <v>0.042833</v>
      </c>
      <c r="CN5" s="37" t="n">
        <v>-0.151616</v>
      </c>
      <c r="CO5" s="37" t="n">
        <v>0.437168</v>
      </c>
      <c r="CP5" s="37" t="n">
        <v>-0.004183</v>
      </c>
      <c r="CQ5" s="37" t="n">
        <v>-0.499352</v>
      </c>
      <c r="CR5" s="37" t="n">
        <v>0.339857</v>
      </c>
      <c r="CS5" s="37" t="n">
        <v>-0.189887</v>
      </c>
      <c r="CT5" s="37" t="n">
        <v>0.22462</v>
      </c>
      <c r="CU5" s="37" t="n">
        <v>-0.251718</v>
      </c>
      <c r="CV5" s="37" t="n">
        <v>-0.060588</v>
      </c>
      <c r="CW5" s="37" t="n">
        <v>0.210877</v>
      </c>
      <c r="CX5" s="37" t="n">
        <v>0.250162</v>
      </c>
      <c r="CY5" s="37" t="n">
        <v>-0.524134</v>
      </c>
      <c r="CZ5" s="37" t="n">
        <v>0.821618</v>
      </c>
      <c r="DA5" s="37" t="n">
        <v>-0.176523</v>
      </c>
      <c r="DB5" s="37" t="n">
        <v>0.13116</v>
      </c>
      <c r="DC5" s="37" t="n">
        <v>0.175737</v>
      </c>
      <c r="DD5" s="37" t="n">
        <v>-0.420839</v>
      </c>
      <c r="DE5" s="37" t="n">
        <v>-0.227972</v>
      </c>
      <c r="DF5" s="37" t="n">
        <v>-0.33716</v>
      </c>
      <c r="DG5" s="37" t="n">
        <v>-0.444004</v>
      </c>
      <c r="DH5" s="37" t="n">
        <v>-0.042933</v>
      </c>
      <c r="DI5" s="37" t="n">
        <v>0.308969</v>
      </c>
      <c r="DJ5" s="37" t="n">
        <v>-0.286692</v>
      </c>
      <c r="DK5" s="37" t="n">
        <v>0.846212</v>
      </c>
      <c r="DL5" s="37" t="n">
        <v>-0.16924</v>
      </c>
      <c r="DM5" s="37" t="n">
        <v>-0.43945</v>
      </c>
      <c r="DN5" s="37" t="n">
        <v>0.747513</v>
      </c>
      <c r="DO5" s="37" t="n">
        <v>-0.399964</v>
      </c>
      <c r="DP5" s="37" t="n">
        <v>-0.044863</v>
      </c>
      <c r="DQ5" s="37" t="n">
        <v>-0.588634</v>
      </c>
      <c r="DR5" s="37" t="n">
        <v>-0.006563</v>
      </c>
      <c r="DS5" s="37" t="n">
        <v>-0.198785</v>
      </c>
      <c r="DT5" s="37" t="n">
        <v>0.413212</v>
      </c>
      <c r="DU5" s="37" t="n">
        <v>-0.170654</v>
      </c>
      <c r="DV5" s="37" t="n">
        <v>0.68828</v>
      </c>
      <c r="DW5" s="37" t="n">
        <v>0.040806</v>
      </c>
      <c r="DX5" s="37" t="n">
        <v>-0.199935</v>
      </c>
      <c r="DY5" s="37" t="n">
        <v>0.566314</v>
      </c>
      <c r="DZ5" s="37" t="n">
        <v>0.473629</v>
      </c>
      <c r="EA5" s="37" t="n">
        <v>0.095445</v>
      </c>
      <c r="EB5" s="37" t="n">
        <v>-1.076361</v>
      </c>
      <c r="EC5" s="37" t="n">
        <v>-0.136106</v>
      </c>
      <c r="ED5" s="37" t="n">
        <v>-0.273497</v>
      </c>
      <c r="EE5" s="37" t="n">
        <v>0.601349</v>
      </c>
      <c r="EF5" s="37" t="n">
        <v>0.006747</v>
      </c>
    </row>
    <row r="6" ht="17.7" customFormat="1" customHeight="1" s="40" thickBot="1">
      <c r="A6" s="52" t="inlineStr">
        <is>
          <t>選絕對值最大</t>
        </is>
      </c>
      <c r="B6" s="51" t="n"/>
      <c r="C6" s="39" t="n">
        <v>3</v>
      </c>
      <c r="D6" s="39" t="n">
        <v>2</v>
      </c>
      <c r="E6" s="39" t="n">
        <v>3</v>
      </c>
      <c r="F6" s="39" t="n">
        <v>3</v>
      </c>
      <c r="G6" s="39" t="n">
        <v>3</v>
      </c>
      <c r="H6" s="39" t="n">
        <v>3</v>
      </c>
      <c r="I6" s="39" t="n">
        <v>1</v>
      </c>
      <c r="J6" s="39" t="n">
        <v>1</v>
      </c>
      <c r="K6" s="39" t="n">
        <v>3</v>
      </c>
      <c r="L6" s="39" t="n">
        <v>3</v>
      </c>
      <c r="M6" s="39" t="n">
        <v>3</v>
      </c>
      <c r="N6" s="39" t="n">
        <v>3</v>
      </c>
      <c r="O6" s="39" t="n">
        <v>1</v>
      </c>
      <c r="P6" s="39" t="n">
        <v>3</v>
      </c>
      <c r="Q6" s="39" t="n">
        <v>1</v>
      </c>
      <c r="R6" s="39" t="n">
        <v>1</v>
      </c>
      <c r="S6" s="39" t="n">
        <v>3</v>
      </c>
      <c r="T6" s="39" t="n">
        <v>1</v>
      </c>
      <c r="U6" s="39" t="n">
        <v>1</v>
      </c>
      <c r="V6" s="39" t="n">
        <v>3</v>
      </c>
      <c r="W6" s="39" t="n">
        <v>3</v>
      </c>
      <c r="X6" s="39" t="n">
        <v>2</v>
      </c>
      <c r="Y6" s="39" t="n">
        <v>3</v>
      </c>
      <c r="Z6" s="39" t="n">
        <v>1</v>
      </c>
      <c r="AA6" s="39" t="n">
        <v>1</v>
      </c>
      <c r="AB6" s="39" t="n">
        <v>1</v>
      </c>
      <c r="AC6" s="39" t="n">
        <v>3</v>
      </c>
      <c r="AD6" s="39" t="n">
        <v>3</v>
      </c>
      <c r="AE6" s="39" t="n">
        <v>3</v>
      </c>
      <c r="AF6" s="39" t="n">
        <v>3</v>
      </c>
      <c r="AG6" s="39" t="n">
        <v>3</v>
      </c>
      <c r="AH6" s="39" t="n">
        <v>3</v>
      </c>
      <c r="AI6" s="39" t="n">
        <v>3</v>
      </c>
      <c r="AJ6" s="39" t="n">
        <v>3</v>
      </c>
      <c r="AK6" s="39" t="n">
        <v>3</v>
      </c>
      <c r="AL6" s="39" t="n">
        <v>1</v>
      </c>
      <c r="AM6" s="39" t="n">
        <v>1</v>
      </c>
      <c r="AN6" s="39" t="n">
        <v>1</v>
      </c>
      <c r="AO6" s="39" t="n">
        <v>3</v>
      </c>
      <c r="AP6" s="39" t="n">
        <v>2</v>
      </c>
      <c r="AQ6" s="39" t="n">
        <v>1</v>
      </c>
      <c r="AR6" s="39" t="n">
        <v>2</v>
      </c>
      <c r="AS6" s="39" t="n">
        <v>1</v>
      </c>
      <c r="AT6" s="39" t="n">
        <v>3</v>
      </c>
      <c r="AU6" s="39" t="n">
        <v>3</v>
      </c>
      <c r="AV6" s="39" t="n">
        <v>2</v>
      </c>
      <c r="AW6" s="39" t="n">
        <v>1</v>
      </c>
      <c r="AX6" s="39" t="n">
        <v>3</v>
      </c>
      <c r="AY6" s="39" t="n">
        <v>3</v>
      </c>
      <c r="AZ6" s="39" t="n">
        <v>3</v>
      </c>
      <c r="BA6" s="39" t="n">
        <v>1</v>
      </c>
      <c r="BB6" s="39" t="n">
        <v>2</v>
      </c>
      <c r="BC6" s="39" t="n">
        <v>1</v>
      </c>
      <c r="BD6" s="39" t="n">
        <v>1</v>
      </c>
      <c r="BE6" s="39" t="n">
        <v>1</v>
      </c>
      <c r="BF6" s="39" t="n">
        <v>3</v>
      </c>
      <c r="BG6" s="39" t="n">
        <v>1</v>
      </c>
      <c r="BH6" s="39" t="n">
        <v>1</v>
      </c>
      <c r="BI6" s="39" t="n">
        <v>3</v>
      </c>
      <c r="BJ6" s="39" t="n">
        <v>3</v>
      </c>
      <c r="BK6" s="39" t="n">
        <v>3</v>
      </c>
      <c r="BL6" s="39" t="n">
        <v>3</v>
      </c>
      <c r="BM6" s="39" t="n">
        <v>3</v>
      </c>
      <c r="BN6" s="39" t="n">
        <v>3</v>
      </c>
      <c r="BO6" s="39" t="n">
        <v>1</v>
      </c>
      <c r="BP6" s="39" t="n">
        <v>2</v>
      </c>
      <c r="BQ6" s="39" t="n">
        <v>3</v>
      </c>
      <c r="BR6" s="39" t="n">
        <v>1</v>
      </c>
      <c r="BS6" s="39" t="n">
        <v>3</v>
      </c>
      <c r="BT6" s="39" t="n">
        <v>3</v>
      </c>
      <c r="BU6" s="39" t="n">
        <v>1</v>
      </c>
      <c r="BV6" s="39" t="n">
        <v>2</v>
      </c>
      <c r="BW6" s="39" t="n">
        <v>3</v>
      </c>
      <c r="BX6" s="39" t="n">
        <v>3</v>
      </c>
      <c r="BY6" s="39" t="n">
        <v>2</v>
      </c>
      <c r="BZ6" s="39" t="n">
        <v>1</v>
      </c>
      <c r="CA6" s="39" t="n">
        <v>1</v>
      </c>
      <c r="CB6" s="39" t="n">
        <v>2</v>
      </c>
      <c r="CC6" s="39" t="n">
        <v>2</v>
      </c>
      <c r="CD6" s="39" t="n">
        <v>3</v>
      </c>
      <c r="CE6" s="39" t="n">
        <v>1</v>
      </c>
      <c r="CF6" s="39" t="n">
        <v>3</v>
      </c>
      <c r="CG6" s="39" t="n">
        <v>3</v>
      </c>
      <c r="CH6" s="39" t="n">
        <v>3</v>
      </c>
      <c r="CI6" s="39" t="n">
        <v>3</v>
      </c>
      <c r="CJ6" s="39" t="n">
        <v>1</v>
      </c>
      <c r="CK6" s="39" t="n">
        <v>3</v>
      </c>
      <c r="CL6" s="39" t="n">
        <v>3</v>
      </c>
      <c r="CM6" s="39" t="n">
        <v>1</v>
      </c>
      <c r="CN6" s="39" t="n">
        <v>1</v>
      </c>
      <c r="CO6" s="39" t="n">
        <v>3</v>
      </c>
      <c r="CP6" s="39" t="n">
        <v>1</v>
      </c>
      <c r="CQ6" s="39" t="n">
        <v>3</v>
      </c>
      <c r="CR6" s="39" t="n">
        <v>3</v>
      </c>
      <c r="CS6" s="39" t="n">
        <v>2</v>
      </c>
      <c r="CT6" s="39" t="n">
        <v>3</v>
      </c>
      <c r="CU6" s="39" t="n">
        <v>3</v>
      </c>
      <c r="CV6" s="39" t="n">
        <v>2</v>
      </c>
      <c r="CW6" s="39" t="n">
        <v>3</v>
      </c>
      <c r="CX6" s="39" t="n">
        <v>3</v>
      </c>
      <c r="CY6" s="39" t="n">
        <v>3</v>
      </c>
      <c r="CZ6" s="39" t="n">
        <v>3</v>
      </c>
      <c r="DA6" s="39" t="n">
        <v>1</v>
      </c>
      <c r="DB6" s="39" t="n">
        <v>1</v>
      </c>
      <c r="DC6" s="39" t="n">
        <v>1</v>
      </c>
      <c r="DD6" s="39" t="n">
        <v>3</v>
      </c>
      <c r="DE6" s="39" t="n">
        <v>3</v>
      </c>
      <c r="DF6" s="39" t="n">
        <v>3</v>
      </c>
      <c r="DG6" s="39" t="n">
        <v>3</v>
      </c>
      <c r="DH6" s="39" t="n">
        <v>2</v>
      </c>
      <c r="DI6" s="39" t="n">
        <v>3</v>
      </c>
      <c r="DJ6" s="39" t="n">
        <v>3</v>
      </c>
      <c r="DK6" s="39" t="n">
        <v>3</v>
      </c>
      <c r="DL6" s="39" t="n">
        <v>3</v>
      </c>
      <c r="DM6" s="39" t="n">
        <v>3</v>
      </c>
      <c r="DN6" s="39" t="n">
        <v>3</v>
      </c>
      <c r="DO6" s="39" t="n">
        <v>3</v>
      </c>
      <c r="DP6" s="39" t="n">
        <v>1</v>
      </c>
      <c r="DQ6" s="39" t="n">
        <v>3</v>
      </c>
      <c r="DR6" s="39" t="n">
        <v>2</v>
      </c>
      <c r="DS6" s="39" t="n">
        <v>3</v>
      </c>
      <c r="DT6" s="39" t="n">
        <v>3</v>
      </c>
      <c r="DU6" s="39" t="n">
        <v>3</v>
      </c>
      <c r="DV6" s="39" t="n">
        <v>3</v>
      </c>
      <c r="DW6" s="39" t="n">
        <v>1</v>
      </c>
      <c r="DX6" s="39" t="n">
        <v>3</v>
      </c>
      <c r="DY6" s="39" t="n">
        <v>3</v>
      </c>
      <c r="DZ6" s="39" t="n">
        <v>3</v>
      </c>
      <c r="EA6" s="39" t="n">
        <v>2</v>
      </c>
      <c r="EB6" s="39" t="n">
        <v>3</v>
      </c>
      <c r="EC6" s="39" t="n">
        <v>3</v>
      </c>
      <c r="ED6" s="39" t="n">
        <v>3</v>
      </c>
      <c r="EE6" s="39" t="n">
        <v>3</v>
      </c>
      <c r="EF6" s="39" t="n">
        <v>2</v>
      </c>
    </row>
    <row r="7" ht="16.2" customHeight="1" s="54" thickBot="1">
      <c r="C7" s="39" t="inlineStr">
        <is>
          <t>mom</t>
        </is>
      </c>
      <c r="D7" s="39" t="inlineStr">
        <is>
          <t>size</t>
        </is>
      </c>
      <c r="E7" s="39" t="inlineStr">
        <is>
          <t>mom</t>
        </is>
      </c>
      <c r="F7" s="39" t="inlineStr">
        <is>
          <t>mom</t>
        </is>
      </c>
      <c r="G7" s="39" t="inlineStr">
        <is>
          <t>mom</t>
        </is>
      </c>
      <c r="H7" s="39" t="inlineStr">
        <is>
          <t>mom</t>
        </is>
      </c>
      <c r="I7" s="39" t="inlineStr">
        <is>
          <t>bm</t>
        </is>
      </c>
      <c r="J7" s="39" t="inlineStr">
        <is>
          <t>bm</t>
        </is>
      </c>
      <c r="K7" s="39" t="inlineStr">
        <is>
          <t>mom</t>
        </is>
      </c>
      <c r="L7" s="39" t="inlineStr">
        <is>
          <t>mom</t>
        </is>
      </c>
      <c r="M7" s="39" t="inlineStr">
        <is>
          <t>mom</t>
        </is>
      </c>
      <c r="N7" s="39" t="inlineStr">
        <is>
          <t>mom</t>
        </is>
      </c>
      <c r="O7" s="39" t="inlineStr">
        <is>
          <t>bm</t>
        </is>
      </c>
      <c r="P7" s="39" t="inlineStr">
        <is>
          <t>mom</t>
        </is>
      </c>
      <c r="Q7" s="39" t="inlineStr">
        <is>
          <t>bm</t>
        </is>
      </c>
      <c r="R7" s="39" t="inlineStr">
        <is>
          <t>bm</t>
        </is>
      </c>
      <c r="S7" s="39" t="inlineStr">
        <is>
          <t>mom</t>
        </is>
      </c>
      <c r="T7" s="39" t="inlineStr">
        <is>
          <t>bm</t>
        </is>
      </c>
      <c r="U7" s="39" t="inlineStr">
        <is>
          <t>bm</t>
        </is>
      </c>
      <c r="V7" s="39" t="inlineStr">
        <is>
          <t>mom</t>
        </is>
      </c>
      <c r="W7" s="39" t="inlineStr">
        <is>
          <t>mom</t>
        </is>
      </c>
      <c r="X7" s="39" t="inlineStr">
        <is>
          <t>size</t>
        </is>
      </c>
      <c r="Y7" s="39" t="inlineStr">
        <is>
          <t>mom</t>
        </is>
      </c>
      <c r="Z7" s="39" t="inlineStr">
        <is>
          <t>bm</t>
        </is>
      </c>
      <c r="AA7" s="39" t="inlineStr">
        <is>
          <t>bm</t>
        </is>
      </c>
      <c r="AB7" s="39" t="inlineStr">
        <is>
          <t>bm</t>
        </is>
      </c>
      <c r="AC7" s="39" t="inlineStr">
        <is>
          <t>mom</t>
        </is>
      </c>
      <c r="AD7" s="39" t="inlineStr">
        <is>
          <t>mom</t>
        </is>
      </c>
      <c r="AE7" s="39" t="inlineStr">
        <is>
          <t>mom</t>
        </is>
      </c>
      <c r="AF7" s="39" t="inlineStr">
        <is>
          <t>mom</t>
        </is>
      </c>
      <c r="AG7" s="39" t="inlineStr">
        <is>
          <t>mom</t>
        </is>
      </c>
      <c r="AH7" s="39" t="inlineStr">
        <is>
          <t>mom</t>
        </is>
      </c>
      <c r="AI7" s="39" t="inlineStr">
        <is>
          <t>mom</t>
        </is>
      </c>
      <c r="AJ7" s="39" t="inlineStr">
        <is>
          <t>mom</t>
        </is>
      </c>
      <c r="AK7" s="39" t="inlineStr">
        <is>
          <t>mom</t>
        </is>
      </c>
      <c r="AL7" s="39" t="inlineStr">
        <is>
          <t>bm</t>
        </is>
      </c>
      <c r="AM7" s="39" t="inlineStr">
        <is>
          <t>bm</t>
        </is>
      </c>
      <c r="AN7" s="39" t="inlineStr">
        <is>
          <t>bm</t>
        </is>
      </c>
      <c r="AO7" s="39" t="inlineStr">
        <is>
          <t>mom</t>
        </is>
      </c>
      <c r="AP7" s="39" t="inlineStr">
        <is>
          <t>size</t>
        </is>
      </c>
      <c r="AQ7" s="39" t="inlineStr">
        <is>
          <t>bm</t>
        </is>
      </c>
      <c r="AR7" s="39" t="inlineStr">
        <is>
          <t>size</t>
        </is>
      </c>
      <c r="AS7" s="39" t="inlineStr">
        <is>
          <t>bm</t>
        </is>
      </c>
      <c r="AT7" s="39" t="inlineStr">
        <is>
          <t>mom</t>
        </is>
      </c>
      <c r="AU7" s="39" t="inlineStr">
        <is>
          <t>mom</t>
        </is>
      </c>
      <c r="AV7" s="39" t="inlineStr">
        <is>
          <t>size</t>
        </is>
      </c>
      <c r="AW7" s="39" t="inlineStr">
        <is>
          <t>bm</t>
        </is>
      </c>
      <c r="AX7" s="39" t="inlineStr">
        <is>
          <t>mom</t>
        </is>
      </c>
      <c r="AY7" s="39" t="inlineStr">
        <is>
          <t>mom</t>
        </is>
      </c>
      <c r="AZ7" s="39" t="inlineStr">
        <is>
          <t>mom</t>
        </is>
      </c>
      <c r="BA7" s="39" t="inlineStr">
        <is>
          <t>bm</t>
        </is>
      </c>
      <c r="BB7" s="39" t="inlineStr">
        <is>
          <t>size</t>
        </is>
      </c>
      <c r="BC7" s="39" t="inlineStr">
        <is>
          <t>bm</t>
        </is>
      </c>
      <c r="BD7" s="39" t="inlineStr">
        <is>
          <t>bm</t>
        </is>
      </c>
      <c r="BE7" s="39" t="inlineStr">
        <is>
          <t>bm</t>
        </is>
      </c>
      <c r="BF7" s="39" t="inlineStr">
        <is>
          <t>mom</t>
        </is>
      </c>
      <c r="BG7" s="39" t="inlineStr">
        <is>
          <t>bm</t>
        </is>
      </c>
      <c r="BH7" s="39" t="inlineStr">
        <is>
          <t>bm</t>
        </is>
      </c>
      <c r="BI7" s="39" t="inlineStr">
        <is>
          <t>mom</t>
        </is>
      </c>
      <c r="BJ7" s="39" t="inlineStr">
        <is>
          <t>mom</t>
        </is>
      </c>
      <c r="BK7" s="39" t="inlineStr">
        <is>
          <t>mom</t>
        </is>
      </c>
      <c r="BL7" s="39" t="inlineStr">
        <is>
          <t>mom</t>
        </is>
      </c>
      <c r="BM7" s="39" t="inlineStr">
        <is>
          <t>mom</t>
        </is>
      </c>
      <c r="BN7" s="39" t="inlineStr">
        <is>
          <t>mom</t>
        </is>
      </c>
      <c r="BO7" s="39" t="inlineStr">
        <is>
          <t>bm</t>
        </is>
      </c>
      <c r="BP7" s="39" t="inlineStr">
        <is>
          <t>size</t>
        </is>
      </c>
      <c r="BQ7" s="39" t="inlineStr">
        <is>
          <t>mom</t>
        </is>
      </c>
      <c r="BR7" s="39" t="inlineStr">
        <is>
          <t>bm</t>
        </is>
      </c>
      <c r="BS7" s="39" t="inlineStr">
        <is>
          <t>mom</t>
        </is>
      </c>
      <c r="BT7" s="39" t="inlineStr">
        <is>
          <t>mom</t>
        </is>
      </c>
      <c r="BU7" s="39" t="inlineStr">
        <is>
          <t>bm</t>
        </is>
      </c>
      <c r="BV7" s="39" t="inlineStr">
        <is>
          <t>size</t>
        </is>
      </c>
      <c r="BW7" s="39" t="inlineStr">
        <is>
          <t>mom</t>
        </is>
      </c>
      <c r="BX7" s="39" t="inlineStr">
        <is>
          <t>mom</t>
        </is>
      </c>
      <c r="BY7" s="39" t="inlineStr">
        <is>
          <t>size</t>
        </is>
      </c>
      <c r="BZ7" s="39" t="inlineStr">
        <is>
          <t>bm</t>
        </is>
      </c>
      <c r="CA7" s="39" t="inlineStr">
        <is>
          <t>bm</t>
        </is>
      </c>
      <c r="CB7" s="39" t="inlineStr">
        <is>
          <t>size</t>
        </is>
      </c>
      <c r="CC7" s="39" t="inlineStr">
        <is>
          <t>size</t>
        </is>
      </c>
      <c r="CD7" s="39" t="inlineStr">
        <is>
          <t>mom</t>
        </is>
      </c>
      <c r="CE7" s="39" t="inlineStr">
        <is>
          <t>bm</t>
        </is>
      </c>
      <c r="CF7" s="39" t="inlineStr">
        <is>
          <t>mom</t>
        </is>
      </c>
      <c r="CG7" s="39" t="inlineStr">
        <is>
          <t>mom</t>
        </is>
      </c>
      <c r="CH7" s="39" t="inlineStr">
        <is>
          <t>mom</t>
        </is>
      </c>
      <c r="CI7" s="39" t="inlineStr">
        <is>
          <t>mom</t>
        </is>
      </c>
      <c r="CJ7" s="39" t="inlineStr">
        <is>
          <t>bm</t>
        </is>
      </c>
      <c r="CK7" s="39" t="inlineStr">
        <is>
          <t>mom</t>
        </is>
      </c>
      <c r="CL7" s="39" t="inlineStr">
        <is>
          <t>mom</t>
        </is>
      </c>
      <c r="CM7" s="39" t="inlineStr">
        <is>
          <t>bm</t>
        </is>
      </c>
      <c r="CN7" s="39" t="inlineStr">
        <is>
          <t>bm</t>
        </is>
      </c>
      <c r="CO7" s="39" t="inlineStr">
        <is>
          <t>mom</t>
        </is>
      </c>
      <c r="CP7" s="39" t="inlineStr">
        <is>
          <t>bm</t>
        </is>
      </c>
      <c r="CQ7" s="39" t="inlineStr">
        <is>
          <t>mom</t>
        </is>
      </c>
      <c r="CR7" s="39" t="inlineStr">
        <is>
          <t>mom</t>
        </is>
      </c>
      <c r="CS7" s="39" t="inlineStr">
        <is>
          <t>size</t>
        </is>
      </c>
      <c r="CT7" s="39" t="inlineStr">
        <is>
          <t>mom</t>
        </is>
      </c>
      <c r="CU7" s="39" t="inlineStr">
        <is>
          <t>mom</t>
        </is>
      </c>
      <c r="CV7" s="39" t="inlineStr">
        <is>
          <t>size</t>
        </is>
      </c>
      <c r="CW7" s="39" t="inlineStr">
        <is>
          <t>mom</t>
        </is>
      </c>
      <c r="CX7" s="39" t="inlineStr">
        <is>
          <t>mom</t>
        </is>
      </c>
      <c r="CY7" s="39" t="inlineStr">
        <is>
          <t>mom</t>
        </is>
      </c>
      <c r="CZ7" s="39" t="inlineStr">
        <is>
          <t>mom</t>
        </is>
      </c>
      <c r="DA7" s="39" t="inlineStr">
        <is>
          <t>bm</t>
        </is>
      </c>
      <c r="DB7" s="39" t="inlineStr">
        <is>
          <t>bm</t>
        </is>
      </c>
      <c r="DC7" s="39" t="inlineStr">
        <is>
          <t>bm</t>
        </is>
      </c>
      <c r="DD7" s="39" t="inlineStr">
        <is>
          <t>mom</t>
        </is>
      </c>
      <c r="DE7" s="39" t="inlineStr">
        <is>
          <t>mom</t>
        </is>
      </c>
      <c r="DF7" s="39" t="inlineStr">
        <is>
          <t>mom</t>
        </is>
      </c>
      <c r="DG7" s="39" t="inlineStr">
        <is>
          <t>mom</t>
        </is>
      </c>
      <c r="DH7" s="39" t="inlineStr">
        <is>
          <t>size</t>
        </is>
      </c>
      <c r="DI7" s="39" t="inlineStr">
        <is>
          <t>mom</t>
        </is>
      </c>
      <c r="DJ7" s="39" t="inlineStr">
        <is>
          <t>mom</t>
        </is>
      </c>
      <c r="DK7" s="39" t="inlineStr">
        <is>
          <t>mom</t>
        </is>
      </c>
      <c r="DL7" s="39" t="inlineStr">
        <is>
          <t>mom</t>
        </is>
      </c>
      <c r="DM7" s="39" t="inlineStr">
        <is>
          <t>mom</t>
        </is>
      </c>
      <c r="DN7" s="39" t="inlineStr">
        <is>
          <t>mom</t>
        </is>
      </c>
      <c r="DO7" s="39" t="inlineStr">
        <is>
          <t>mom</t>
        </is>
      </c>
      <c r="DP7" s="39" t="inlineStr">
        <is>
          <t>bm</t>
        </is>
      </c>
      <c r="DQ7" s="39" t="inlineStr">
        <is>
          <t>mom</t>
        </is>
      </c>
      <c r="DR7" s="39" t="inlineStr">
        <is>
          <t>size</t>
        </is>
      </c>
      <c r="DS7" s="39" t="inlineStr">
        <is>
          <t>mom</t>
        </is>
      </c>
      <c r="DT7" s="39" t="inlineStr">
        <is>
          <t>mom</t>
        </is>
      </c>
      <c r="DU7" s="39" t="inlineStr">
        <is>
          <t>mom</t>
        </is>
      </c>
      <c r="DV7" s="39" t="inlineStr">
        <is>
          <t>mom</t>
        </is>
      </c>
      <c r="DW7" s="39" t="inlineStr">
        <is>
          <t>bm</t>
        </is>
      </c>
      <c r="DX7" s="39" t="inlineStr">
        <is>
          <t>mom</t>
        </is>
      </c>
      <c r="DY7" s="39" t="inlineStr">
        <is>
          <t>mom</t>
        </is>
      </c>
      <c r="DZ7" s="39" t="inlineStr">
        <is>
          <t>mom</t>
        </is>
      </c>
      <c r="EA7" s="39" t="inlineStr">
        <is>
          <t>size</t>
        </is>
      </c>
      <c r="EB7" s="39" t="inlineStr">
        <is>
          <t>mom</t>
        </is>
      </c>
      <c r="EC7" s="39" t="inlineStr">
        <is>
          <t>mom</t>
        </is>
      </c>
      <c r="ED7" s="39" t="inlineStr">
        <is>
          <t>mom</t>
        </is>
      </c>
      <c r="EE7" s="39" t="inlineStr">
        <is>
          <t>mom</t>
        </is>
      </c>
      <c r="EF7" s="39" t="inlineStr">
        <is>
          <t>size</t>
        </is>
      </c>
    </row>
    <row r="8" ht="16.2" customHeight="1" s="54" thickBot="1">
      <c r="C8" s="39" t="n">
        <v>-0.209358</v>
      </c>
      <c r="D8" s="39" t="n">
        <v>-0.196253</v>
      </c>
      <c r="E8" s="39" t="n">
        <v>0.524848</v>
      </c>
      <c r="F8" s="39" t="n">
        <v>0.046837</v>
      </c>
      <c r="G8" s="39" t="n">
        <v>-0.210471</v>
      </c>
      <c r="H8" s="39" t="n">
        <v>0.474415</v>
      </c>
      <c r="I8" s="39" t="n">
        <v>-0.196766</v>
      </c>
      <c r="J8" s="39" t="n">
        <v>0.27883</v>
      </c>
      <c r="K8" s="39" t="n">
        <v>0.275528</v>
      </c>
      <c r="L8" s="39" t="n">
        <v>-0.430043</v>
      </c>
      <c r="M8" s="39" t="n">
        <v>0.323768</v>
      </c>
      <c r="N8" s="39" t="n">
        <v>-0.348242</v>
      </c>
      <c r="O8" s="39" t="n">
        <v>0.310847</v>
      </c>
      <c r="P8" s="39" t="n">
        <v>0.395466</v>
      </c>
      <c r="Q8" s="39" t="n">
        <v>-0.123071</v>
      </c>
      <c r="R8" s="39" t="n">
        <v>-0.112558</v>
      </c>
      <c r="S8" s="39" t="n">
        <v>0.305792</v>
      </c>
      <c r="T8" s="39" t="n">
        <v>-0.144585</v>
      </c>
      <c r="U8" s="39" t="n">
        <v>-0.262808</v>
      </c>
      <c r="V8" s="39" t="n">
        <v>-0.139367</v>
      </c>
      <c r="W8" s="39" t="n">
        <v>-0.39469</v>
      </c>
      <c r="X8" s="39" t="n">
        <v>-0.169731</v>
      </c>
      <c r="Y8" s="39" t="n">
        <v>-0.681273</v>
      </c>
      <c r="Z8" s="39" t="n">
        <v>0.10309</v>
      </c>
      <c r="AA8" s="39" t="n">
        <v>0.486377</v>
      </c>
      <c r="AB8" s="39" t="n">
        <v>-0.23482</v>
      </c>
      <c r="AC8" s="39" t="n">
        <v>-0.08916300000000001</v>
      </c>
      <c r="AD8" s="39" t="n">
        <v>0.145141</v>
      </c>
      <c r="AE8" s="39" t="n">
        <v>0.074669</v>
      </c>
      <c r="AF8" s="39" t="n">
        <v>0.17577</v>
      </c>
      <c r="AG8" s="39" t="n">
        <v>-0.30336</v>
      </c>
      <c r="AH8" s="39" t="n">
        <v>-0.34825</v>
      </c>
      <c r="AI8" s="39" t="n">
        <v>0.258724</v>
      </c>
      <c r="AJ8" s="39" t="n">
        <v>-0.488892</v>
      </c>
      <c r="AK8" s="39" t="n">
        <v>0.132548</v>
      </c>
      <c r="AL8" s="39" t="n">
        <v>0.187381</v>
      </c>
      <c r="AM8" s="39" t="n">
        <v>0.09683700000000001</v>
      </c>
      <c r="AN8" s="39" t="n">
        <v>0.207574</v>
      </c>
      <c r="AO8" s="39" t="n">
        <v>0.184463</v>
      </c>
      <c r="AP8" s="39" t="n">
        <v>0.079751</v>
      </c>
      <c r="AQ8" s="39" t="n">
        <v>-0.21144</v>
      </c>
      <c r="AR8" s="39" t="n">
        <v>0.114431</v>
      </c>
      <c r="AS8" s="39" t="n">
        <v>0.14111</v>
      </c>
      <c r="AT8" s="39" t="n">
        <v>0.151645</v>
      </c>
      <c r="AU8" s="39" t="n">
        <v>-0.200837</v>
      </c>
      <c r="AV8" s="39" t="n">
        <v>-0.217699</v>
      </c>
      <c r="AW8" s="39" t="n">
        <v>-0.174155</v>
      </c>
      <c r="AX8" s="39" t="n">
        <v>0.112293</v>
      </c>
      <c r="AY8" s="39" t="n">
        <v>-0.118056</v>
      </c>
      <c r="AZ8" s="39" t="n">
        <v>0.20622</v>
      </c>
      <c r="BA8" s="39" t="n">
        <v>0.1605</v>
      </c>
      <c r="BB8" s="39" t="n">
        <v>-0.252464</v>
      </c>
      <c r="BC8" s="39" t="n">
        <v>0.156737</v>
      </c>
      <c r="BD8" s="39" t="n">
        <v>0.166883</v>
      </c>
      <c r="BE8" s="39" t="n">
        <v>-0.131472</v>
      </c>
      <c r="BF8" s="39" t="n">
        <v>-0.285262</v>
      </c>
      <c r="BG8" s="39" t="n">
        <v>0.315311</v>
      </c>
      <c r="BH8" s="39" t="n">
        <v>0.270101</v>
      </c>
      <c r="BI8" s="39" t="n">
        <v>0.058127</v>
      </c>
      <c r="BJ8" s="39" t="n">
        <v>-0.25987</v>
      </c>
      <c r="BK8" s="39" t="n">
        <v>0.184879</v>
      </c>
      <c r="BL8" s="39" t="n">
        <v>-0.269132</v>
      </c>
      <c r="BM8" s="39" t="n">
        <v>0.171738</v>
      </c>
      <c r="BN8" s="39" t="n">
        <v>-0.180922</v>
      </c>
      <c r="BO8" s="39" t="n">
        <v>-0.149288</v>
      </c>
      <c r="BP8" s="39" t="n">
        <v>0.08362700000000001</v>
      </c>
      <c r="BQ8" s="39" t="n">
        <v>-0.16861</v>
      </c>
      <c r="BR8" s="39" t="n">
        <v>0.213465</v>
      </c>
      <c r="BS8" s="39" t="n">
        <v>0.124424</v>
      </c>
      <c r="BT8" s="39" t="n">
        <v>0.207722</v>
      </c>
      <c r="BU8" s="39" t="n">
        <v>0.113779</v>
      </c>
      <c r="BV8" s="39" t="n">
        <v>0.171973</v>
      </c>
      <c r="BW8" s="39" t="n">
        <v>-0.126802</v>
      </c>
      <c r="BX8" s="39" t="n">
        <v>-0.10582</v>
      </c>
      <c r="BY8" s="39" t="n">
        <v>-0.182695</v>
      </c>
      <c r="BZ8" s="39" t="n">
        <v>-0.140713</v>
      </c>
      <c r="CA8" s="39" t="n">
        <v>0.073473</v>
      </c>
      <c r="CB8" s="39" t="n">
        <v>0.198019</v>
      </c>
      <c r="CC8" s="39" t="n">
        <v>-0.294464</v>
      </c>
      <c r="CD8" s="39" t="n">
        <v>0.327423</v>
      </c>
      <c r="CE8" s="39" t="n">
        <v>0.218797</v>
      </c>
      <c r="CF8" s="39" t="n">
        <v>-0.149373</v>
      </c>
      <c r="CG8" s="39" t="n">
        <v>0.1632</v>
      </c>
      <c r="CH8" s="39" t="n">
        <v>-0.069038</v>
      </c>
      <c r="CI8" s="39" t="n">
        <v>-0.115362</v>
      </c>
      <c r="CJ8" s="39" t="n">
        <v>-0.391113</v>
      </c>
      <c r="CK8" s="39" t="n">
        <v>0.378974</v>
      </c>
      <c r="CL8" s="39" t="n">
        <v>-0.07638300000000001</v>
      </c>
      <c r="CM8" s="39" t="n">
        <v>0.183112</v>
      </c>
      <c r="CN8" s="39" t="n">
        <v>-0.397462</v>
      </c>
      <c r="CO8" s="39" t="n">
        <v>0.437168</v>
      </c>
      <c r="CP8" s="39" t="n">
        <v>-0.095682</v>
      </c>
      <c r="CQ8" s="39" t="n">
        <v>-0.499352</v>
      </c>
      <c r="CR8" s="39" t="n">
        <v>0.339857</v>
      </c>
      <c r="CS8" s="39" t="n">
        <v>-0.279011</v>
      </c>
      <c r="CT8" s="39" t="n">
        <v>0.22462</v>
      </c>
      <c r="CU8" s="39" t="n">
        <v>-0.251718</v>
      </c>
      <c r="CV8" s="39" t="n">
        <v>0.11175</v>
      </c>
      <c r="CW8" s="39" t="n">
        <v>0.210877</v>
      </c>
      <c r="CX8" s="39" t="n">
        <v>0.250162</v>
      </c>
      <c r="CY8" s="39" t="n">
        <v>-0.524134</v>
      </c>
      <c r="CZ8" s="39" t="n">
        <v>0.821618</v>
      </c>
      <c r="DA8" s="39" t="n">
        <v>0.312541</v>
      </c>
      <c r="DB8" s="39" t="n">
        <v>-0.155646</v>
      </c>
      <c r="DC8" s="39" t="n">
        <v>-0.186959</v>
      </c>
      <c r="DD8" s="39" t="n">
        <v>-0.420839</v>
      </c>
      <c r="DE8" s="39" t="n">
        <v>-0.227972</v>
      </c>
      <c r="DF8" s="39" t="n">
        <v>-0.33716</v>
      </c>
      <c r="DG8" s="39" t="n">
        <v>-0.444004</v>
      </c>
      <c r="DH8" s="39" t="n">
        <v>0.157626</v>
      </c>
      <c r="DI8" s="39" t="n">
        <v>0.308969</v>
      </c>
      <c r="DJ8" s="39" t="n">
        <v>-0.286692</v>
      </c>
      <c r="DK8" s="39" t="n">
        <v>0.846212</v>
      </c>
      <c r="DL8" s="39" t="n">
        <v>-0.16924</v>
      </c>
      <c r="DM8" s="39" t="n">
        <v>-0.43945</v>
      </c>
      <c r="DN8" s="39" t="n">
        <v>0.747513</v>
      </c>
      <c r="DO8" s="39" t="n">
        <v>-0.399964</v>
      </c>
      <c r="DP8" s="39" t="n">
        <v>0.161131</v>
      </c>
      <c r="DQ8" s="39" t="n">
        <v>-0.588634</v>
      </c>
      <c r="DR8" s="39" t="n">
        <v>-0.129244</v>
      </c>
      <c r="DS8" s="39" t="n">
        <v>-0.198785</v>
      </c>
      <c r="DT8" s="39" t="n">
        <v>0.413212</v>
      </c>
      <c r="DU8" s="39" t="n">
        <v>-0.170654</v>
      </c>
      <c r="DV8" s="39" t="n">
        <v>0.68828</v>
      </c>
      <c r="DW8" s="39" t="n">
        <v>0.06615600000000001</v>
      </c>
      <c r="DX8" s="39" t="n">
        <v>-0.199935</v>
      </c>
      <c r="DY8" s="39" t="n">
        <v>0.566314</v>
      </c>
      <c r="DZ8" s="39" t="n">
        <v>0.473629</v>
      </c>
      <c r="EA8" s="39" t="n">
        <v>-0.194881</v>
      </c>
      <c r="EB8" s="39" t="n">
        <v>-1.076361</v>
      </c>
      <c r="EC8" s="39" t="n">
        <v>-0.136106</v>
      </c>
      <c r="ED8" s="39" t="n">
        <v>-0.273497</v>
      </c>
      <c r="EE8" s="39" t="n">
        <v>0.601349</v>
      </c>
      <c r="EF8" s="39" t="n">
        <v>0.243811</v>
      </c>
    </row>
    <row r="9" ht="16.2" customHeight="1" s="54" thickBot="1"/>
    <row r="10" ht="17.7" customHeight="1" s="54" thickBot="1">
      <c r="A10" s="53" t="inlineStr">
        <is>
          <t>投資組合</t>
        </is>
      </c>
      <c r="B10" s="51" t="n"/>
      <c r="C10" s="52" t="inlineStr">
        <is>
          <t>公司數</t>
        </is>
      </c>
      <c r="D10" s="52" t="n">
        <v>964</v>
      </c>
    </row>
    <row r="11" ht="17.7" customHeight="1" s="54" thickBot="1">
      <c r="A11" s="41" t="n"/>
      <c r="B11" s="31" t="inlineStr">
        <is>
          <t>時間</t>
        </is>
      </c>
      <c r="C11" s="38" t="inlineStr">
        <is>
          <t>2014/01</t>
        </is>
      </c>
      <c r="D11" s="38" t="inlineStr">
        <is>
          <t>2014/02</t>
        </is>
      </c>
      <c r="E11" s="38" t="inlineStr">
        <is>
          <t>2014/03</t>
        </is>
      </c>
      <c r="F11" s="38" t="inlineStr">
        <is>
          <t>2014/04</t>
        </is>
      </c>
      <c r="G11" s="38" t="inlineStr">
        <is>
          <t>2014/05</t>
        </is>
      </c>
      <c r="H11" s="38" t="inlineStr">
        <is>
          <t>2014/06</t>
        </is>
      </c>
      <c r="I11" s="38" t="inlineStr">
        <is>
          <t>2014/07</t>
        </is>
      </c>
      <c r="J11" s="38" t="inlineStr">
        <is>
          <t>2014/08</t>
        </is>
      </c>
      <c r="K11" s="38" t="inlineStr">
        <is>
          <t>2014/09</t>
        </is>
      </c>
      <c r="L11" s="38" t="inlineStr">
        <is>
          <t>2014/10</t>
        </is>
      </c>
      <c r="M11" s="38" t="inlineStr">
        <is>
          <t>2014/11</t>
        </is>
      </c>
      <c r="N11" s="38" t="inlineStr">
        <is>
          <t>2014/12</t>
        </is>
      </c>
      <c r="O11" s="38" t="inlineStr">
        <is>
          <t>2015/01</t>
        </is>
      </c>
      <c r="P11" s="38" t="inlineStr">
        <is>
          <t>2015/02</t>
        </is>
      </c>
      <c r="Q11" s="38" t="inlineStr">
        <is>
          <t>2015/03</t>
        </is>
      </c>
      <c r="R11" s="38" t="inlineStr">
        <is>
          <t>2015/04</t>
        </is>
      </c>
      <c r="S11" s="38" t="inlineStr">
        <is>
          <t>2015/05</t>
        </is>
      </c>
      <c r="T11" s="38" t="inlineStr">
        <is>
          <t>2015/06</t>
        </is>
      </c>
      <c r="U11" s="38" t="inlineStr">
        <is>
          <t>2015/07</t>
        </is>
      </c>
      <c r="V11" s="38" t="inlineStr">
        <is>
          <t>2015/08</t>
        </is>
      </c>
      <c r="W11" s="38" t="inlineStr">
        <is>
          <t>2015/09</t>
        </is>
      </c>
      <c r="X11" s="38" t="inlineStr">
        <is>
          <t>2015/10</t>
        </is>
      </c>
      <c r="Y11" s="38" t="inlineStr">
        <is>
          <t>2015/11</t>
        </is>
      </c>
      <c r="Z11" s="38" t="inlineStr">
        <is>
          <t>2015/12</t>
        </is>
      </c>
      <c r="AA11" s="38" t="inlineStr">
        <is>
          <t>2016/01</t>
        </is>
      </c>
      <c r="AB11" s="38" t="inlineStr">
        <is>
          <t>2016/02</t>
        </is>
      </c>
      <c r="AC11" s="38" t="inlineStr">
        <is>
          <t>2016/03</t>
        </is>
      </c>
      <c r="AD11" s="38" t="inlineStr">
        <is>
          <t>2016/04</t>
        </is>
      </c>
      <c r="AE11" s="38" t="inlineStr">
        <is>
          <t>2016/05</t>
        </is>
      </c>
      <c r="AF11" s="38" t="inlineStr">
        <is>
          <t>2016/06</t>
        </is>
      </c>
      <c r="AG11" s="38" t="inlineStr">
        <is>
          <t>2016/07</t>
        </is>
      </c>
      <c r="AH11" s="38" t="inlineStr">
        <is>
          <t>2016/08</t>
        </is>
      </c>
      <c r="AI11" s="38" t="inlineStr">
        <is>
          <t>2016/09</t>
        </is>
      </c>
      <c r="AJ11" s="38" t="inlineStr">
        <is>
          <t>2016/10</t>
        </is>
      </c>
      <c r="AK11" s="38" t="inlineStr">
        <is>
          <t>2016/11</t>
        </is>
      </c>
      <c r="AL11" s="38" t="inlineStr">
        <is>
          <t>2016/12</t>
        </is>
      </c>
      <c r="AM11" s="38" t="inlineStr">
        <is>
          <t>2017/01</t>
        </is>
      </c>
      <c r="AN11" s="38" t="inlineStr">
        <is>
          <t>2017/02</t>
        </is>
      </c>
      <c r="AO11" s="38" t="inlineStr">
        <is>
          <t>2017/03</t>
        </is>
      </c>
      <c r="AP11" s="38" t="inlineStr">
        <is>
          <t>2017/04</t>
        </is>
      </c>
      <c r="AQ11" s="38" t="inlineStr">
        <is>
          <t>2017/05</t>
        </is>
      </c>
      <c r="AR11" s="38" t="inlineStr">
        <is>
          <t>2017/06</t>
        </is>
      </c>
      <c r="AS11" s="38" t="inlineStr">
        <is>
          <t>2017/07</t>
        </is>
      </c>
      <c r="AT11" s="38" t="inlineStr">
        <is>
          <t>2017/08</t>
        </is>
      </c>
      <c r="AU11" s="38" t="inlineStr">
        <is>
          <t>2017/09</t>
        </is>
      </c>
      <c r="AV11" s="38" t="inlineStr">
        <is>
          <t>2017/10</t>
        </is>
      </c>
      <c r="AW11" s="38" t="inlineStr">
        <is>
          <t>2017/11</t>
        </is>
      </c>
      <c r="AX11" s="38" t="inlineStr">
        <is>
          <t>2017/12</t>
        </is>
      </c>
      <c r="AY11" s="38" t="inlineStr">
        <is>
          <t>2018/01</t>
        </is>
      </c>
      <c r="AZ11" s="38" t="inlineStr">
        <is>
          <t>2018/02</t>
        </is>
      </c>
      <c r="BA11" s="38" t="inlineStr">
        <is>
          <t>2018/03</t>
        </is>
      </c>
      <c r="BB11" s="38" t="inlineStr">
        <is>
          <t>2018/04</t>
        </is>
      </c>
      <c r="BC11" s="38" t="inlineStr">
        <is>
          <t>2018/05</t>
        </is>
      </c>
      <c r="BD11" s="38" t="inlineStr">
        <is>
          <t>2018/06</t>
        </is>
      </c>
      <c r="BE11" s="38" t="inlineStr">
        <is>
          <t>2018/07</t>
        </is>
      </c>
      <c r="BF11" s="38" t="inlineStr">
        <is>
          <t>2018/08</t>
        </is>
      </c>
      <c r="BG11" s="38" t="inlineStr">
        <is>
          <t>2018/09</t>
        </is>
      </c>
      <c r="BH11" s="38" t="inlineStr">
        <is>
          <t>2018/10</t>
        </is>
      </c>
      <c r="BI11" s="38" t="inlineStr">
        <is>
          <t>2018/11</t>
        </is>
      </c>
      <c r="BJ11" s="38" t="inlineStr">
        <is>
          <t>2018/12</t>
        </is>
      </c>
      <c r="BK11" s="38" t="inlineStr">
        <is>
          <t>2019/01</t>
        </is>
      </c>
      <c r="BL11" s="38" t="inlineStr">
        <is>
          <t>2019/02</t>
        </is>
      </c>
      <c r="BM11" s="38" t="inlineStr">
        <is>
          <t>2019/03</t>
        </is>
      </c>
      <c r="BN11" s="38" t="inlineStr">
        <is>
          <t>2019/04</t>
        </is>
      </c>
      <c r="BO11" s="38" t="inlineStr">
        <is>
          <t>2019/05</t>
        </is>
      </c>
      <c r="BP11" s="38" t="inlineStr">
        <is>
          <t>2019/06</t>
        </is>
      </c>
      <c r="BQ11" s="38" t="inlineStr">
        <is>
          <t>2019/07</t>
        </is>
      </c>
      <c r="BR11" s="38" t="inlineStr">
        <is>
          <t>2019/08</t>
        </is>
      </c>
      <c r="BS11" s="38" t="inlineStr">
        <is>
          <t>2019/09</t>
        </is>
      </c>
      <c r="BT11" s="38" t="inlineStr">
        <is>
          <t>2019/10</t>
        </is>
      </c>
      <c r="BU11" s="38" t="inlineStr">
        <is>
          <t>2019/11</t>
        </is>
      </c>
      <c r="BV11" s="38" t="inlineStr">
        <is>
          <t>2019/12</t>
        </is>
      </c>
      <c r="BW11" s="38" t="inlineStr">
        <is>
          <t>2020/01</t>
        </is>
      </c>
      <c r="BX11" s="38" t="inlineStr">
        <is>
          <t>2020/02</t>
        </is>
      </c>
      <c r="BY11" s="38" t="inlineStr">
        <is>
          <t>2020/03</t>
        </is>
      </c>
      <c r="BZ11" s="38" t="inlineStr">
        <is>
          <t>2020/04</t>
        </is>
      </c>
      <c r="CA11" s="38" t="inlineStr">
        <is>
          <t>2020/05</t>
        </is>
      </c>
      <c r="CB11" s="38" t="inlineStr">
        <is>
          <t>2020/06</t>
        </is>
      </c>
      <c r="CC11" s="38" t="inlineStr">
        <is>
          <t>2020/07</t>
        </is>
      </c>
      <c r="CD11" s="38" t="inlineStr">
        <is>
          <t>2020/08</t>
        </is>
      </c>
      <c r="CE11" s="38" t="inlineStr">
        <is>
          <t>2020/09</t>
        </is>
      </c>
      <c r="CF11" s="38" t="inlineStr">
        <is>
          <t>2020/10</t>
        </is>
      </c>
      <c r="CG11" s="38" t="inlineStr">
        <is>
          <t>2020/11</t>
        </is>
      </c>
      <c r="CH11" s="38" t="inlineStr">
        <is>
          <t>2020/12</t>
        </is>
      </c>
      <c r="CI11" s="38" t="inlineStr">
        <is>
          <t>2021/01</t>
        </is>
      </c>
      <c r="CJ11" s="38" t="inlineStr">
        <is>
          <t>2021/02</t>
        </is>
      </c>
      <c r="CK11" s="38" t="inlineStr">
        <is>
          <t>2021/03</t>
        </is>
      </c>
      <c r="CL11" s="38" t="inlineStr">
        <is>
          <t>2021/04</t>
        </is>
      </c>
      <c r="CM11" s="38" t="inlineStr">
        <is>
          <t>2021/05</t>
        </is>
      </c>
      <c r="CN11" s="38" t="inlineStr">
        <is>
          <t>2021/06</t>
        </is>
      </c>
      <c r="CO11" s="38" t="inlineStr">
        <is>
          <t>2021/07</t>
        </is>
      </c>
      <c r="CP11" s="38" t="inlineStr">
        <is>
          <t>2021/08</t>
        </is>
      </c>
      <c r="CQ11" s="38" t="inlineStr">
        <is>
          <t>2021/09</t>
        </is>
      </c>
      <c r="CR11" s="38" t="inlineStr">
        <is>
          <t>2021/10</t>
        </is>
      </c>
      <c r="CS11" s="38" t="inlineStr">
        <is>
          <t>2021/11</t>
        </is>
      </c>
      <c r="CT11" s="38" t="inlineStr">
        <is>
          <t>2021/12</t>
        </is>
      </c>
      <c r="CU11" s="38" t="inlineStr">
        <is>
          <t>2022/01</t>
        </is>
      </c>
      <c r="CV11" s="38" t="inlineStr">
        <is>
          <t>2022/02</t>
        </is>
      </c>
      <c r="CW11" s="38" t="inlineStr">
        <is>
          <t>2022/03</t>
        </is>
      </c>
      <c r="CX11" s="38" t="inlineStr">
        <is>
          <t>2022/04</t>
        </is>
      </c>
      <c r="CY11" s="38" t="inlineStr">
        <is>
          <t>2022/05</t>
        </is>
      </c>
      <c r="CZ11" s="38" t="inlineStr">
        <is>
          <t>2022/06</t>
        </is>
      </c>
      <c r="DA11" s="38" t="inlineStr">
        <is>
          <t>2022/07</t>
        </is>
      </c>
      <c r="DB11" s="38" t="inlineStr">
        <is>
          <t>2022/08</t>
        </is>
      </c>
      <c r="DC11" s="38" t="inlineStr">
        <is>
          <t>2022/09</t>
        </is>
      </c>
      <c r="DD11" s="38" t="inlineStr">
        <is>
          <t>2022/10</t>
        </is>
      </c>
      <c r="DE11" s="38" t="inlineStr">
        <is>
          <t>2022/11</t>
        </is>
      </c>
      <c r="DF11" s="38" t="inlineStr">
        <is>
          <t>2022/12</t>
        </is>
      </c>
      <c r="DG11" s="38" t="inlineStr">
        <is>
          <t>2023/01</t>
        </is>
      </c>
      <c r="DH11" s="38" t="inlineStr">
        <is>
          <t>2023/02</t>
        </is>
      </c>
      <c r="DI11" s="38" t="inlineStr">
        <is>
          <t>2023/03</t>
        </is>
      </c>
      <c r="DJ11" s="38" t="inlineStr">
        <is>
          <t>2023/04</t>
        </is>
      </c>
      <c r="DK11" s="38" t="inlineStr">
        <is>
          <t>2023/05</t>
        </is>
      </c>
      <c r="DL11" s="38" t="inlineStr">
        <is>
          <t>2023/06</t>
        </is>
      </c>
      <c r="DM11" s="38" t="inlineStr">
        <is>
          <t>2023/07</t>
        </is>
      </c>
      <c r="DN11" s="38" t="inlineStr">
        <is>
          <t>2023/08</t>
        </is>
      </c>
      <c r="DO11" s="38" t="inlineStr">
        <is>
          <t>2023/09</t>
        </is>
      </c>
      <c r="DP11" s="38" t="inlineStr">
        <is>
          <t>2023/10</t>
        </is>
      </c>
      <c r="DQ11" s="38" t="inlineStr">
        <is>
          <t>2023/11</t>
        </is>
      </c>
      <c r="DR11" s="38" t="inlineStr">
        <is>
          <t>2023/12</t>
        </is>
      </c>
      <c r="DS11" s="38" t="inlineStr">
        <is>
          <t>2024/01</t>
        </is>
      </c>
      <c r="DT11" s="38" t="inlineStr">
        <is>
          <t>2024/02</t>
        </is>
      </c>
      <c r="DU11" s="38" t="inlineStr">
        <is>
          <t>2024/03</t>
        </is>
      </c>
      <c r="DV11" s="38" t="inlineStr">
        <is>
          <t>2024/04</t>
        </is>
      </c>
      <c r="DW11" s="38" t="inlineStr">
        <is>
          <t>2024/05</t>
        </is>
      </c>
      <c r="DX11" s="38" t="inlineStr">
        <is>
          <t>2024/06</t>
        </is>
      </c>
      <c r="DY11" s="38" t="inlineStr">
        <is>
          <t>2024/07</t>
        </is>
      </c>
      <c r="DZ11" s="38" t="inlineStr">
        <is>
          <t>2024/08</t>
        </is>
      </c>
      <c r="EA11" s="38" t="inlineStr">
        <is>
          <t>2024/09</t>
        </is>
      </c>
      <c r="EB11" s="38" t="inlineStr">
        <is>
          <t>2024/10</t>
        </is>
      </c>
      <c r="EC11" s="38" t="inlineStr">
        <is>
          <t>2024/11</t>
        </is>
      </c>
      <c r="ED11" s="38" t="inlineStr">
        <is>
          <t>2024/12</t>
        </is>
      </c>
      <c r="EE11" s="36" t="inlineStr">
        <is>
          <t>2025/01</t>
        </is>
      </c>
      <c r="EF11" s="42" t="inlineStr">
        <is>
          <t>2025/02</t>
        </is>
      </c>
      <c r="EG11" s="43" t="n"/>
    </row>
    <row r="12" ht="16.2" customFormat="1" customHeight="1" s="45" thickBot="1">
      <c r="A12" s="44" t="n"/>
      <c r="B12" s="52" t="inlineStr">
        <is>
          <t>100等分</t>
        </is>
      </c>
      <c r="C12" s="11" t="n">
        <v>-0.03635023</v>
      </c>
      <c r="D12" s="29" t="n">
        <v>0.33635899</v>
      </c>
      <c r="E12" s="29" t="n">
        <v>0.24101438</v>
      </c>
      <c r="F12" s="29" t="n">
        <v>0.2759358200000001</v>
      </c>
      <c r="G12" s="29" t="n">
        <v>0.2415319</v>
      </c>
      <c r="H12" s="29" t="n">
        <v>0.2402881700000001</v>
      </c>
      <c r="I12" s="29" t="n">
        <v>0.18863301</v>
      </c>
      <c r="J12" s="29" t="n">
        <v>0.23132486</v>
      </c>
      <c r="K12" s="29" t="n">
        <v>0.32583966</v>
      </c>
      <c r="L12" s="29" t="n">
        <v>0.2446686</v>
      </c>
      <c r="M12" s="29" t="n">
        <v>0.24253558</v>
      </c>
      <c r="N12" s="29" t="n">
        <v>0.35233177</v>
      </c>
      <c r="O12" s="29" t="n">
        <v>0.42608911</v>
      </c>
      <c r="P12" s="29" t="n">
        <v>0.44798568</v>
      </c>
      <c r="Q12" s="29" t="n">
        <v>0.6035225200000001</v>
      </c>
      <c r="R12" s="29" t="n">
        <v>0.6556522100000001</v>
      </c>
      <c r="S12" s="29" t="n">
        <v>0.7411401000000001</v>
      </c>
      <c r="T12" s="29" t="n">
        <v>0.8079402200000001</v>
      </c>
      <c r="U12" s="29" t="n">
        <v>0.9449082800000002</v>
      </c>
      <c r="V12" s="29" t="n">
        <v>1.05503529</v>
      </c>
      <c r="W12" s="29" t="n">
        <v>1.10570671</v>
      </c>
      <c r="X12" s="29" t="n">
        <v>1.18414312</v>
      </c>
      <c r="Y12" s="29" t="n">
        <v>1.23617192</v>
      </c>
      <c r="Z12" s="29" t="n">
        <v>1.28289189</v>
      </c>
      <c r="AA12" s="29" t="n">
        <v>1.23162388</v>
      </c>
      <c r="AB12" s="29" t="n">
        <v>1.16484867</v>
      </c>
      <c r="AC12" s="29" t="n">
        <v>1.16916634</v>
      </c>
      <c r="AD12" s="29" t="n">
        <v>1.08745297</v>
      </c>
      <c r="AE12" s="29" t="n">
        <v>1.29924561</v>
      </c>
      <c r="AF12" s="29" t="n">
        <v>1.16151932</v>
      </c>
      <c r="AG12" s="29" t="n">
        <v>1.11719478</v>
      </c>
      <c r="AH12" s="29" t="n">
        <v>1.25016215</v>
      </c>
      <c r="AI12" s="29" t="n">
        <v>1.22531289</v>
      </c>
      <c r="AJ12" s="29" t="n">
        <v>1.19159497</v>
      </c>
      <c r="AK12" s="29" t="n">
        <v>1.12223352</v>
      </c>
      <c r="AL12" s="29" t="n">
        <v>1.16278917</v>
      </c>
      <c r="AM12" s="29" t="n">
        <v>1.21934717</v>
      </c>
      <c r="AN12" s="29" t="n">
        <v>1.31220908</v>
      </c>
      <c r="AO12" s="29" t="n">
        <v>1.26082456</v>
      </c>
      <c r="AP12" s="29" t="n">
        <v>1.24824262</v>
      </c>
      <c r="AQ12" s="29" t="n">
        <v>1.28084016</v>
      </c>
      <c r="AR12" s="29" t="n">
        <v>1.25628934</v>
      </c>
      <c r="AS12" s="29" t="n">
        <v>1.31011052</v>
      </c>
      <c r="AT12" s="29" t="n">
        <v>1.38110033</v>
      </c>
      <c r="AU12" s="29" t="n">
        <v>1.45827441</v>
      </c>
      <c r="AV12" s="29" t="n">
        <v>1.49149971</v>
      </c>
      <c r="AW12" s="29" t="n">
        <v>1.47583977</v>
      </c>
      <c r="AX12" s="29" t="n">
        <v>1.41156389</v>
      </c>
      <c r="AY12" s="29" t="n">
        <v>1.38255823</v>
      </c>
      <c r="AZ12" s="29" t="n">
        <v>1.3147119</v>
      </c>
      <c r="BA12" s="29" t="n">
        <v>1.32532541</v>
      </c>
      <c r="BB12" s="29" t="n">
        <v>1.43411451</v>
      </c>
      <c r="BC12" s="29" t="n">
        <v>1.49626965</v>
      </c>
      <c r="BD12" s="29" t="n">
        <v>1.54826139</v>
      </c>
      <c r="BE12" s="29" t="n">
        <v>1.50911488</v>
      </c>
      <c r="BF12" s="29" t="n">
        <v>1.719986970000001</v>
      </c>
      <c r="BG12" s="29" t="n">
        <v>1.722811790000001</v>
      </c>
      <c r="BH12" s="29" t="n">
        <v>1.762965340000001</v>
      </c>
      <c r="BI12" s="29" t="n">
        <v>1.784124450000001</v>
      </c>
      <c r="BJ12" s="29" t="n">
        <v>1.914234710000001</v>
      </c>
      <c r="BK12" s="29" t="n">
        <v>1.959839640000001</v>
      </c>
      <c r="BL12" s="29" t="n">
        <v>2.019595060000001</v>
      </c>
      <c r="BM12" s="29" t="n">
        <v>2.067814060000001</v>
      </c>
      <c r="BN12" s="29" t="n">
        <v>2.131534790000001</v>
      </c>
      <c r="BO12" s="29" t="n">
        <v>2.110003850000001</v>
      </c>
      <c r="BP12" s="29" t="n">
        <v>2.058387000000001</v>
      </c>
      <c r="BQ12" s="29" t="n">
        <v>2.014955750000001</v>
      </c>
      <c r="BR12" s="29" t="n">
        <v>1.964798320000001</v>
      </c>
      <c r="BS12" s="29" t="n">
        <v>1.952932410000001</v>
      </c>
      <c r="BT12" s="29" t="n">
        <v>1.893081470000001</v>
      </c>
      <c r="BU12" s="29" t="n">
        <v>1.912557890000001</v>
      </c>
      <c r="BV12" s="29" t="n">
        <v>1.814500500000001</v>
      </c>
      <c r="BW12" s="29" t="n">
        <v>2.113379490000001</v>
      </c>
      <c r="BX12" s="29" t="n">
        <v>2.059527920000001</v>
      </c>
      <c r="BY12" s="29" t="n">
        <v>1.966189530000001</v>
      </c>
      <c r="BZ12" s="29" t="n">
        <v>1.863283060000001</v>
      </c>
      <c r="CA12" s="29" t="n">
        <v>1.844691040000001</v>
      </c>
      <c r="CB12" s="29" t="n">
        <v>1.713599640000001</v>
      </c>
      <c r="CC12" s="29" t="n">
        <v>1.887251350000001</v>
      </c>
      <c r="CD12" s="29" t="n">
        <v>1.840136880000001</v>
      </c>
      <c r="CE12" s="29" t="n">
        <v>1.723496870000001</v>
      </c>
      <c r="CF12" s="29" t="n">
        <v>1.764846300000001</v>
      </c>
      <c r="CG12" s="29" t="n">
        <v>1.678960280000001</v>
      </c>
      <c r="CH12" s="29" t="n">
        <v>1.760302890000001</v>
      </c>
      <c r="CI12" s="29" t="n">
        <v>1.757791950000001</v>
      </c>
      <c r="CJ12" s="29" t="n">
        <v>1.844836310000001</v>
      </c>
      <c r="CK12" s="29" t="n">
        <v>1.940477060000001</v>
      </c>
      <c r="CL12" s="29" t="n">
        <v>1.778822590000001</v>
      </c>
      <c r="CM12" s="29" t="n">
        <v>1.853453710000001</v>
      </c>
      <c r="CN12" s="29" t="n">
        <v>1.888024380000001</v>
      </c>
      <c r="CO12" s="29" t="n">
        <v>1.781045140000001</v>
      </c>
      <c r="CP12" s="29" t="n">
        <v>1.653509300000001</v>
      </c>
      <c r="CQ12" s="29" t="n">
        <v>1.628545940000001</v>
      </c>
      <c r="CR12" s="29" t="n">
        <v>1.447057010000001</v>
      </c>
      <c r="CS12" s="29" t="n">
        <v>1.463968000000001</v>
      </c>
      <c r="CT12" s="29" t="n">
        <v>1.468909670000001</v>
      </c>
      <c r="CU12" s="29" t="n">
        <v>1.592959600000001</v>
      </c>
      <c r="CV12" s="29" t="n">
        <v>1.532515100000001</v>
      </c>
      <c r="CW12" s="29" t="n">
        <v>1.558587190000001</v>
      </c>
      <c r="CX12" s="29" t="n">
        <v>1.406199410000001</v>
      </c>
      <c r="CY12" s="29" t="n">
        <v>1.313251510000001</v>
      </c>
      <c r="CZ12" s="29" t="n">
        <v>1.289488170000001</v>
      </c>
      <c r="DA12" s="29" t="n">
        <v>1.266990200000001</v>
      </c>
      <c r="DB12" s="29" t="n">
        <v>1.297216820000001</v>
      </c>
      <c r="DC12" s="29" t="n">
        <v>1.272395710000001</v>
      </c>
      <c r="DD12" s="29" t="n">
        <v>1.286902440000001</v>
      </c>
      <c r="DE12" s="29" t="n">
        <v>1.344066070000001</v>
      </c>
      <c r="DF12" s="29" t="n">
        <v>1.350120600000001</v>
      </c>
      <c r="DG12" s="29" t="n">
        <v>1.463212160000001</v>
      </c>
      <c r="DH12" s="29" t="n">
        <v>1.333590220000001</v>
      </c>
      <c r="DI12" s="29" t="n">
        <v>1.387698540000001</v>
      </c>
      <c r="DJ12" s="29" t="n">
        <v>1.327674760000001</v>
      </c>
      <c r="DK12" s="29" t="n">
        <v>1.255486160000001</v>
      </c>
      <c r="DL12" s="29" t="n">
        <v>1.255790150000001</v>
      </c>
      <c r="DM12" s="29" t="n">
        <v>1.294842270000001</v>
      </c>
      <c r="DN12" s="29" t="n">
        <v>1.376572980000001</v>
      </c>
      <c r="DO12" s="29" t="n">
        <v>1.410677400000001</v>
      </c>
      <c r="DP12" s="29" t="n">
        <v>1.427809720000001</v>
      </c>
      <c r="DQ12" s="29" t="n">
        <v>1.390771030000001</v>
      </c>
      <c r="DR12" s="29" t="n">
        <v>1.368735770000001</v>
      </c>
      <c r="DS12" s="29" t="n">
        <v>1.359164230000001</v>
      </c>
      <c r="DT12" s="29" t="n">
        <v>1.411883020000001</v>
      </c>
      <c r="DU12" s="29" t="n">
        <v>1.223242380000001</v>
      </c>
      <c r="DV12" s="29" t="n">
        <v>1.176514650000001</v>
      </c>
      <c r="DW12" s="29" t="n">
        <v>1.202053280000001</v>
      </c>
      <c r="DX12" s="29" t="n">
        <v>1.18050761</v>
      </c>
      <c r="DY12" s="29" t="n">
        <v>1.09683398</v>
      </c>
      <c r="DZ12" s="29" t="n">
        <v>1.13343048</v>
      </c>
      <c r="EA12" s="29" t="n">
        <v>1.24260741</v>
      </c>
      <c r="EB12" s="29" t="n">
        <v>1.33069486</v>
      </c>
      <c r="EC12" s="29" t="n">
        <v>1.25453778</v>
      </c>
      <c r="ED12" s="29" t="n">
        <v>1.14387775</v>
      </c>
      <c r="EE12" s="29" t="n">
        <v>1.09453357</v>
      </c>
      <c r="EF12" s="29" t="n">
        <v>1.06488751</v>
      </c>
    </row>
    <row r="13" ht="16.2" customFormat="1" customHeight="1" s="45" thickBot="1">
      <c r="A13" s="44" t="n"/>
      <c r="B13" s="52" t="inlineStr">
        <is>
          <t>107等分</t>
        </is>
      </c>
      <c r="C13" s="11" t="n">
        <v>-0.03943539</v>
      </c>
      <c r="D13" s="29" t="n">
        <v>0.36875959</v>
      </c>
      <c r="E13" s="29" t="n">
        <v>0.2820554199999999</v>
      </c>
      <c r="F13" s="29" t="n">
        <v>0.36077089</v>
      </c>
      <c r="G13" s="29" t="n">
        <v>0.35262434</v>
      </c>
      <c r="H13" s="29" t="n">
        <v>0.35197499</v>
      </c>
      <c r="I13" s="29" t="n">
        <v>0.30197358</v>
      </c>
      <c r="J13" s="29" t="n">
        <v>0.34868351</v>
      </c>
      <c r="K13" s="29" t="n">
        <v>0.4351043999999999</v>
      </c>
      <c r="L13" s="29" t="n">
        <v>0.3499427999999999</v>
      </c>
      <c r="M13" s="29" t="n">
        <v>0.3359553599999999</v>
      </c>
      <c r="N13" s="29" t="n">
        <v>0.45619786</v>
      </c>
      <c r="O13" s="29" t="n">
        <v>0.54042196</v>
      </c>
      <c r="P13" s="29" t="n">
        <v>0.54861014</v>
      </c>
      <c r="Q13" s="29" t="n">
        <v>0.71102676</v>
      </c>
      <c r="R13" s="29" t="n">
        <v>0.76731164</v>
      </c>
      <c r="S13" s="29" t="n">
        <v>0.87717068</v>
      </c>
      <c r="T13" s="29" t="n">
        <v>0.94438974</v>
      </c>
      <c r="U13" s="29" t="n">
        <v>1.07445221</v>
      </c>
      <c r="V13" s="29" t="n">
        <v>1.1500237</v>
      </c>
      <c r="W13" s="29" t="n">
        <v>1.25165506</v>
      </c>
      <c r="X13" s="29" t="n">
        <v>1.32533334</v>
      </c>
      <c r="Y13" s="29" t="n">
        <v>1.37561217</v>
      </c>
      <c r="Z13" s="29" t="n">
        <v>1.40965194</v>
      </c>
      <c r="AA13" s="29" t="n">
        <v>1.3661643</v>
      </c>
      <c r="AB13" s="29" t="n">
        <v>1.29178424</v>
      </c>
      <c r="AC13" s="29" t="n">
        <v>1.27901879</v>
      </c>
      <c r="AD13" s="29" t="n">
        <v>1.22588273</v>
      </c>
      <c r="AE13" s="29" t="n">
        <v>1.43551097</v>
      </c>
      <c r="AF13" s="29" t="n">
        <v>1.28759536</v>
      </c>
      <c r="AG13" s="29" t="n">
        <v>1.2438192</v>
      </c>
      <c r="AH13" s="29" t="n">
        <v>1.39222083</v>
      </c>
      <c r="AI13" s="29" t="n">
        <v>1.35883757</v>
      </c>
      <c r="AJ13" s="29" t="n">
        <v>1.31071709</v>
      </c>
      <c r="AK13" s="29" t="n">
        <v>1.27328364</v>
      </c>
      <c r="AL13" s="29" t="n">
        <v>1.32197257</v>
      </c>
      <c r="AM13" s="29" t="n">
        <v>1.3880493</v>
      </c>
      <c r="AN13" s="29" t="n">
        <v>1.4945055</v>
      </c>
      <c r="AO13" s="29" t="n">
        <v>1.45341535</v>
      </c>
      <c r="AP13" s="29" t="n">
        <v>1.44817546</v>
      </c>
      <c r="AQ13" s="29" t="n">
        <v>1.48664166</v>
      </c>
      <c r="AR13" s="29" t="n">
        <v>1.4541489</v>
      </c>
      <c r="AS13" s="29" t="n">
        <v>1.51921713</v>
      </c>
      <c r="AT13" s="29" t="n">
        <v>1.64178117</v>
      </c>
      <c r="AU13" s="29" t="n">
        <v>1.72387144</v>
      </c>
      <c r="AV13" s="29" t="n">
        <v>1.74748032</v>
      </c>
      <c r="AW13" s="29" t="n">
        <v>1.70822739</v>
      </c>
      <c r="AX13" s="29" t="n">
        <v>1.63098638</v>
      </c>
      <c r="AY13" s="29" t="n">
        <v>1.61138453</v>
      </c>
      <c r="AZ13" s="29" t="n">
        <v>1.523234350000001</v>
      </c>
      <c r="BA13" s="29" t="n">
        <v>1.53304255</v>
      </c>
      <c r="BB13" s="29" t="n">
        <v>1.66551729</v>
      </c>
      <c r="BC13" s="29" t="n">
        <v>1.74000439</v>
      </c>
      <c r="BD13" s="29" t="n">
        <v>1.77643633</v>
      </c>
      <c r="BE13" s="29" t="n">
        <v>1.72502534</v>
      </c>
      <c r="BF13" s="29" t="n">
        <v>1.9728122</v>
      </c>
      <c r="BG13" s="29" t="n">
        <v>1.9850136</v>
      </c>
      <c r="BH13" s="29" t="n">
        <v>2.04284894</v>
      </c>
      <c r="BI13" s="29" t="n">
        <v>2.09183888</v>
      </c>
      <c r="BJ13" s="29" t="n">
        <v>2.18840568</v>
      </c>
      <c r="BK13" s="29" t="n">
        <v>2.2397773</v>
      </c>
      <c r="BL13" s="29" t="n">
        <v>2.3009509</v>
      </c>
      <c r="BM13" s="29" t="n">
        <v>2.34044889</v>
      </c>
      <c r="BN13" s="29" t="n">
        <v>2.40175364</v>
      </c>
      <c r="BO13" s="29" t="n">
        <v>2.37986328</v>
      </c>
      <c r="BP13" s="29" t="n">
        <v>2.32211322</v>
      </c>
      <c r="BQ13" s="29" t="n">
        <v>2.2984225</v>
      </c>
      <c r="BR13" s="29" t="n">
        <v>2.27212565</v>
      </c>
      <c r="BS13" s="29" t="n">
        <v>2.24011866</v>
      </c>
      <c r="BT13" s="29" t="n">
        <v>2.19345778</v>
      </c>
      <c r="BU13" s="29" t="n">
        <v>2.22028423</v>
      </c>
      <c r="BV13" s="29" t="n">
        <v>2.12577376</v>
      </c>
      <c r="BW13" s="29" t="n">
        <v>2.443744590000001</v>
      </c>
      <c r="BX13" s="29" t="n">
        <v>2.37718507</v>
      </c>
      <c r="BY13" s="29" t="n">
        <v>2.25819036</v>
      </c>
      <c r="BZ13" s="29" t="n">
        <v>2.14666451</v>
      </c>
      <c r="CA13" s="29" t="n">
        <v>2.11695012</v>
      </c>
      <c r="CB13" s="29" t="n">
        <v>1.97764138</v>
      </c>
      <c r="CC13" s="29" t="n">
        <v>2.02202953</v>
      </c>
      <c r="CD13" s="29" t="n">
        <v>1.961041</v>
      </c>
      <c r="CE13" s="29" t="n">
        <v>1.82844594</v>
      </c>
      <c r="CF13" s="29" t="n">
        <v>1.88124602</v>
      </c>
      <c r="CG13" s="29" t="n">
        <v>1.81951814</v>
      </c>
      <c r="CH13" s="29" t="n">
        <v>1.86996686</v>
      </c>
      <c r="CI13" s="29" t="n">
        <v>1.86572619</v>
      </c>
      <c r="CJ13" s="29" t="n">
        <v>1.90643317</v>
      </c>
      <c r="CK13" s="29" t="n">
        <v>1.99485586</v>
      </c>
      <c r="CL13" s="29" t="n">
        <v>1.79811542</v>
      </c>
      <c r="CM13" s="29" t="n">
        <v>1.88710405</v>
      </c>
      <c r="CN13" s="29" t="n">
        <v>1.911202180000001</v>
      </c>
      <c r="CO13" s="29" t="n">
        <v>1.776561970000001</v>
      </c>
      <c r="CP13" s="29" t="n">
        <v>1.639930280000001</v>
      </c>
      <c r="CQ13" s="29" t="n">
        <v>1.619596500000001</v>
      </c>
      <c r="CR13" s="29" t="n">
        <v>1.430309970000001</v>
      </c>
      <c r="CS13" s="29" t="n">
        <v>1.452116980000001</v>
      </c>
      <c r="CT13" s="29" t="n">
        <v>1.477674360000001</v>
      </c>
      <c r="CU13" s="29" t="n">
        <v>1.613146060000001</v>
      </c>
      <c r="CV13" s="29" t="n">
        <v>1.553692070000001</v>
      </c>
      <c r="CW13" s="29" t="n">
        <v>1.601033730000001</v>
      </c>
      <c r="CX13" s="29" t="n">
        <v>1.438767750000001</v>
      </c>
      <c r="CY13" s="29" t="n">
        <v>1.357487110000001</v>
      </c>
      <c r="CZ13" s="29" t="n">
        <v>1.324762290000001</v>
      </c>
      <c r="DA13" s="29" t="n">
        <v>1.294957500000001</v>
      </c>
      <c r="DB13" s="29" t="n">
        <v>1.337669670000001</v>
      </c>
      <c r="DC13" s="29" t="n">
        <v>1.302311950000001</v>
      </c>
      <c r="DD13" s="29" t="n">
        <v>1.334055660000001</v>
      </c>
      <c r="DE13" s="29" t="n">
        <v>1.368608060000001</v>
      </c>
      <c r="DF13" s="29" t="n">
        <v>1.371306070000001</v>
      </c>
      <c r="DG13" s="29" t="n">
        <v>1.497677990000001</v>
      </c>
      <c r="DH13" s="29" t="n">
        <v>1.360530230000001</v>
      </c>
      <c r="DI13" s="29" t="n">
        <v>1.405929730000001</v>
      </c>
      <c r="DJ13" s="29" t="n">
        <v>1.334974680000001</v>
      </c>
      <c r="DK13" s="29" t="n">
        <v>1.277288910000001</v>
      </c>
      <c r="DL13" s="29" t="n">
        <v>1.299161780000001</v>
      </c>
      <c r="DM13" s="29" t="n">
        <v>1.318072150000001</v>
      </c>
      <c r="DN13" s="29" t="n">
        <v>1.433958880000001</v>
      </c>
      <c r="DO13" s="29" t="n">
        <v>1.480522750000001</v>
      </c>
      <c r="DP13" s="29" t="n">
        <v>1.500364700000001</v>
      </c>
      <c r="DQ13" s="29" t="n">
        <v>1.453294540000001</v>
      </c>
      <c r="DR13" s="29" t="n">
        <v>1.442116370000001</v>
      </c>
      <c r="DS13" s="29" t="n">
        <v>1.452539390000001</v>
      </c>
      <c r="DT13" s="29" t="n">
        <v>1.511652370000001</v>
      </c>
      <c r="DU13" s="29" t="n">
        <v>1.321544130000001</v>
      </c>
      <c r="DV13" s="29" t="n">
        <v>1.275815810000001</v>
      </c>
      <c r="DW13" s="29" t="n">
        <v>1.316733540000001</v>
      </c>
      <c r="DX13" s="29" t="n">
        <v>1.294785810000001</v>
      </c>
      <c r="DY13" s="29" t="n">
        <v>1.199800950000001</v>
      </c>
      <c r="DZ13" s="29" t="n">
        <v>1.212450120000001</v>
      </c>
      <c r="EA13" s="29" t="n">
        <v>1.352249140000001</v>
      </c>
      <c r="EB13" s="29" t="n">
        <v>1.452928240000001</v>
      </c>
      <c r="EC13" s="29" t="n">
        <v>1.384426760000001</v>
      </c>
      <c r="ED13" s="29" t="n">
        <v>1.269727530000001</v>
      </c>
      <c r="EE13" s="29" t="n">
        <v>1.210486530000001</v>
      </c>
      <c r="EF13" s="29" t="n">
        <v>1.175935890000001</v>
      </c>
    </row>
    <row r="14" ht="16.2" customFormat="1" customHeight="1" s="45" thickBot="1">
      <c r="A14" s="44" t="n"/>
      <c r="B14" s="52" t="inlineStr">
        <is>
          <t>137等分</t>
        </is>
      </c>
      <c r="C14" s="11" t="n">
        <v>-0.0591468</v>
      </c>
      <c r="D14" s="29" t="n">
        <v>0.34273688</v>
      </c>
      <c r="E14" s="29" t="n">
        <v>0.24226126</v>
      </c>
      <c r="F14" s="29" t="n">
        <v>0.36164422</v>
      </c>
      <c r="G14" s="29" t="n">
        <v>0.25332785</v>
      </c>
      <c r="H14" s="29" t="n">
        <v>0.26195008</v>
      </c>
      <c r="I14" s="29" t="n">
        <v>0.1264499</v>
      </c>
      <c r="J14" s="29" t="n">
        <v>0.16986142</v>
      </c>
      <c r="K14" s="29" t="n">
        <v>0.30550931</v>
      </c>
      <c r="L14" s="29" t="n">
        <v>0.2547511</v>
      </c>
      <c r="M14" s="29" t="n">
        <v>0.28380256</v>
      </c>
      <c r="N14" s="29" t="n">
        <v>0.42501005</v>
      </c>
      <c r="O14" s="29" t="n">
        <v>0.5286805400000001</v>
      </c>
      <c r="P14" s="29" t="n">
        <v>0.5370086300000001</v>
      </c>
      <c r="Q14" s="29" t="n">
        <v>0.7259840500000001</v>
      </c>
      <c r="R14" s="29" t="n">
        <v>0.7957180800000001</v>
      </c>
      <c r="S14" s="29" t="n">
        <v>0.9395233100000001</v>
      </c>
      <c r="T14" s="29" t="n">
        <v>0.9921614100000001</v>
      </c>
      <c r="U14" s="29" t="n">
        <v>1.12465643</v>
      </c>
      <c r="V14" s="29" t="n">
        <v>1.24604789</v>
      </c>
      <c r="W14" s="29" t="n">
        <v>1.41218272</v>
      </c>
      <c r="X14" s="29" t="n">
        <v>1.53930553</v>
      </c>
      <c r="Y14" s="29" t="n">
        <v>1.64318477</v>
      </c>
      <c r="Z14" s="29" t="n">
        <v>1.73241913</v>
      </c>
      <c r="AA14" s="29" t="n">
        <v>1.69071388</v>
      </c>
      <c r="AB14" s="29" t="n">
        <v>1.60601558</v>
      </c>
      <c r="AC14" s="29" t="n">
        <v>1.607381</v>
      </c>
      <c r="AD14" s="29" t="n">
        <v>1.53493721</v>
      </c>
      <c r="AE14" s="29" t="n">
        <v>1.79332856</v>
      </c>
      <c r="AF14" s="29" t="n">
        <v>1.64278492</v>
      </c>
      <c r="AG14" s="29" t="n">
        <v>1.561064940000001</v>
      </c>
      <c r="AH14" s="29" t="n">
        <v>1.724133440000001</v>
      </c>
      <c r="AI14" s="29" t="n">
        <v>1.642709690000001</v>
      </c>
      <c r="AJ14" s="29" t="n">
        <v>1.571842470000001</v>
      </c>
      <c r="AK14" s="29" t="n">
        <v>1.549009580000001</v>
      </c>
      <c r="AL14" s="29" t="n">
        <v>1.594869710000001</v>
      </c>
      <c r="AM14" s="29" t="n">
        <v>1.661513120000001</v>
      </c>
      <c r="AN14" s="29" t="n">
        <v>1.778339170000001</v>
      </c>
      <c r="AO14" s="29" t="n">
        <v>1.802923450000001</v>
      </c>
      <c r="AP14" s="29" t="n">
        <v>1.800909020000001</v>
      </c>
      <c r="AQ14" s="29" t="n">
        <v>1.877139870000001</v>
      </c>
      <c r="AR14" s="29" t="n">
        <v>1.815445350000001</v>
      </c>
      <c r="AS14" s="29" t="n">
        <v>1.9012719</v>
      </c>
      <c r="AT14" s="29" t="n">
        <v>2.067657710000001</v>
      </c>
      <c r="AU14" s="29" t="n">
        <v>2.20655592</v>
      </c>
      <c r="AV14" s="29" t="n">
        <v>2.24161361</v>
      </c>
      <c r="AW14" s="29" t="n">
        <v>2.21707558</v>
      </c>
      <c r="AX14" s="29" t="n">
        <v>2.10367009</v>
      </c>
      <c r="AY14" s="29" t="n">
        <v>2.07348073</v>
      </c>
      <c r="AZ14" s="29" t="n">
        <v>2.0218344</v>
      </c>
      <c r="BA14" s="29" t="n">
        <v>2.02246671</v>
      </c>
      <c r="BB14" s="29" t="n">
        <v>2.18972473</v>
      </c>
      <c r="BC14" s="29" t="n">
        <v>2.28370683</v>
      </c>
      <c r="BD14" s="29" t="n">
        <v>2.27197735</v>
      </c>
      <c r="BE14" s="29" t="n">
        <v>2.20361614</v>
      </c>
      <c r="BF14" s="29" t="n">
        <v>2.36860263</v>
      </c>
      <c r="BG14" s="29" t="n">
        <v>2.35179639</v>
      </c>
      <c r="BH14" s="29" t="n">
        <v>2.39123668</v>
      </c>
      <c r="BI14" s="29" t="n">
        <v>2.46722777</v>
      </c>
      <c r="BJ14" s="29" t="n">
        <v>2.565761629999999</v>
      </c>
      <c r="BK14" s="29" t="n">
        <v>2.566742709999999</v>
      </c>
      <c r="BL14" s="29" t="n">
        <v>2.622530589999999</v>
      </c>
      <c r="BM14" s="29" t="n">
        <v>2.650611949999999</v>
      </c>
      <c r="BN14" s="29" t="n">
        <v>2.692803539999999</v>
      </c>
      <c r="BO14" s="29" t="n">
        <v>2.675855679999999</v>
      </c>
      <c r="BP14" s="29" t="n">
        <v>2.613392249999999</v>
      </c>
      <c r="BQ14" s="29" t="n">
        <v>2.526932559999999</v>
      </c>
      <c r="BR14" s="29" t="n">
        <v>2.521184369999999</v>
      </c>
      <c r="BS14" s="29" t="n">
        <v>2.488311109999999</v>
      </c>
      <c r="BT14" s="29" t="n">
        <v>2.426765789999999</v>
      </c>
      <c r="BU14" s="29" t="n">
        <v>2.507443229999999</v>
      </c>
      <c r="BV14" s="29" t="n">
        <v>2.391937709999999</v>
      </c>
      <c r="BW14" s="29" t="n">
        <v>2.610313209999999</v>
      </c>
      <c r="BX14" s="29" t="n">
        <v>2.535732349999999</v>
      </c>
      <c r="BY14" s="29" t="n">
        <v>2.473045609999998</v>
      </c>
      <c r="BZ14" s="29" t="n">
        <v>2.319725619999998</v>
      </c>
      <c r="CA14" s="29" t="n">
        <v>2.303649079999999</v>
      </c>
      <c r="CB14" s="29" t="n">
        <v>2.196803019999999</v>
      </c>
      <c r="CC14" s="29" t="n">
        <v>2.301463639999999</v>
      </c>
      <c r="CD14" s="29" t="n">
        <v>2.179868419999999</v>
      </c>
      <c r="CE14" s="29" t="n">
        <v>2.012474479999999</v>
      </c>
      <c r="CF14" s="29" t="n">
        <v>1.968516739999999</v>
      </c>
      <c r="CG14" s="29" t="n">
        <v>1.876907479999999</v>
      </c>
      <c r="CH14" s="29" t="n">
        <v>1.922273129999998</v>
      </c>
      <c r="CI14" s="29" t="n">
        <v>2.037332439999998</v>
      </c>
      <c r="CJ14" s="29" t="n">
        <v>2.099646119999998</v>
      </c>
      <c r="CK14" s="29" t="n">
        <v>2.195704149999998</v>
      </c>
      <c r="CL14" s="29" t="n">
        <v>2.042790209999998</v>
      </c>
      <c r="CM14" s="29" t="n">
        <v>2.186438749999998</v>
      </c>
      <c r="CN14" s="29" t="n">
        <v>2.224435789999998</v>
      </c>
      <c r="CO14" s="29" t="n">
        <v>2.073838279999999</v>
      </c>
      <c r="CP14" s="29" t="n">
        <v>1.910999169999999</v>
      </c>
      <c r="CQ14" s="29" t="n">
        <v>1.949241849999999</v>
      </c>
      <c r="CR14" s="29" t="n">
        <v>1.755519439999999</v>
      </c>
      <c r="CS14" s="29" t="n">
        <v>1.783647999999999</v>
      </c>
      <c r="CT14" s="29" t="n">
        <v>1.767375509999999</v>
      </c>
      <c r="CU14" s="29" t="n">
        <v>1.911940329999999</v>
      </c>
      <c r="CV14" s="29" t="n">
        <v>1.848995709999999</v>
      </c>
      <c r="CW14" s="29" t="n">
        <v>1.915554279999999</v>
      </c>
      <c r="CX14" s="29" t="n">
        <v>1.762478589999999</v>
      </c>
      <c r="CY14" s="29" t="n">
        <v>1.669300209999999</v>
      </c>
      <c r="CZ14" s="29" t="n">
        <v>1.577840999999999</v>
      </c>
      <c r="DA14" s="29" t="n">
        <v>1.532533549999999</v>
      </c>
      <c r="DB14" s="29" t="n">
        <v>1.578268759999999</v>
      </c>
      <c r="DC14" s="29" t="n">
        <v>1.541859979999999</v>
      </c>
      <c r="DD14" s="29" t="n">
        <v>1.582874169999999</v>
      </c>
      <c r="DE14" s="29" t="n">
        <v>1.621294759999999</v>
      </c>
      <c r="DF14" s="29" t="n">
        <v>1.649366739999999</v>
      </c>
      <c r="DG14" s="29" t="n">
        <v>1.767583829999999</v>
      </c>
      <c r="DH14" s="29" t="n">
        <v>1.575182449999999</v>
      </c>
      <c r="DI14" s="29" t="n">
        <v>1.593795699999999</v>
      </c>
      <c r="DJ14" s="29" t="n">
        <v>1.447599619999999</v>
      </c>
      <c r="DK14" s="29" t="n">
        <v>1.390349029999999</v>
      </c>
      <c r="DL14" s="29" t="n">
        <v>1.394179299999999</v>
      </c>
      <c r="DM14" s="29" t="n">
        <v>1.399429979999999</v>
      </c>
      <c r="DN14" s="29" t="n">
        <v>1.524538659999999</v>
      </c>
      <c r="DO14" s="29" t="n">
        <v>1.554737679999999</v>
      </c>
      <c r="DP14" s="29" t="n">
        <v>1.534132989999999</v>
      </c>
      <c r="DQ14" s="29" t="n">
        <v>1.468383529999999</v>
      </c>
      <c r="DR14" s="29" t="n">
        <v>1.457932279999999</v>
      </c>
      <c r="DS14" s="29" t="n">
        <v>1.483317929999999</v>
      </c>
      <c r="DT14" s="29" t="n">
        <v>1.505918959999999</v>
      </c>
      <c r="DU14" s="29" t="n">
        <v>1.343330179999999</v>
      </c>
      <c r="DV14" s="29" t="n">
        <v>1.272802489999999</v>
      </c>
      <c r="DW14" s="29" t="n">
        <v>1.354711179999999</v>
      </c>
      <c r="DX14" s="29" t="n">
        <v>1.422888469999999</v>
      </c>
      <c r="DY14" s="29" t="n">
        <v>1.257125369999999</v>
      </c>
      <c r="DZ14" s="29" t="n">
        <v>1.213897519999999</v>
      </c>
      <c r="EA14" s="29" t="n">
        <v>1.412843269999999</v>
      </c>
      <c r="EB14" s="29" t="n">
        <v>1.522807619999999</v>
      </c>
      <c r="EC14" s="29" t="n">
        <v>1.379767389999999</v>
      </c>
      <c r="ED14" s="29" t="n">
        <v>1.297008289999999</v>
      </c>
      <c r="EE14" s="29" t="n">
        <v>1.243993249999999</v>
      </c>
      <c r="EF14" s="29" t="n">
        <v>1.180038919999999</v>
      </c>
    </row>
    <row r="15" ht="16.2" customFormat="1" customHeight="1" s="45" thickBot="1">
      <c r="A15" s="44" t="n"/>
      <c r="B15" s="52" t="inlineStr">
        <is>
          <t>160等分</t>
        </is>
      </c>
      <c r="C15" s="11" t="n">
        <v>-0.07386193000000001</v>
      </c>
      <c r="D15" s="29" t="n">
        <v>0.33365878</v>
      </c>
      <c r="E15" s="29" t="n">
        <v>0.1930751</v>
      </c>
      <c r="F15" s="29" t="n">
        <v>0.37076376</v>
      </c>
      <c r="G15" s="29" t="n">
        <v>0.27469779</v>
      </c>
      <c r="H15" s="29" t="n">
        <v>0.262629</v>
      </c>
      <c r="I15" s="29" t="n">
        <v>0.12797467</v>
      </c>
      <c r="J15" s="29" t="n">
        <v>0.16340425</v>
      </c>
      <c r="K15" s="29" t="n">
        <v>0.40219366</v>
      </c>
      <c r="L15" s="29" t="n">
        <v>0.38186701</v>
      </c>
      <c r="M15" s="29" t="n">
        <v>0.33817677</v>
      </c>
      <c r="N15" s="29" t="n">
        <v>0.49002035</v>
      </c>
      <c r="O15" s="29" t="n">
        <v>0.58224173</v>
      </c>
      <c r="P15" s="29" t="n">
        <v>0.60575489</v>
      </c>
      <c r="Q15" s="29" t="n">
        <v>0.80352064</v>
      </c>
      <c r="R15" s="29" t="n">
        <v>0.89381973</v>
      </c>
      <c r="S15" s="29" t="n">
        <v>1.01651161</v>
      </c>
      <c r="T15" s="29" t="n">
        <v>1.04179182</v>
      </c>
      <c r="U15" s="29" t="n">
        <v>1.19758552</v>
      </c>
      <c r="V15" s="29" t="n">
        <v>1.29027384</v>
      </c>
      <c r="W15" s="29" t="n">
        <v>1.4650086</v>
      </c>
      <c r="X15" s="29" t="n">
        <v>1.58793175</v>
      </c>
      <c r="Y15" s="29" t="n">
        <v>1.69106199</v>
      </c>
      <c r="Z15" s="29" t="n">
        <v>1.7826811</v>
      </c>
      <c r="AA15" s="29" t="n">
        <v>1.7593911</v>
      </c>
      <c r="AB15" s="29" t="n">
        <v>1.66014917</v>
      </c>
      <c r="AC15" s="29" t="n">
        <v>1.67429071</v>
      </c>
      <c r="AD15" s="29" t="n">
        <v>1.65029325</v>
      </c>
      <c r="AE15" s="29" t="n">
        <v>1.95878611</v>
      </c>
      <c r="AF15" s="29" t="n">
        <v>1.78995553</v>
      </c>
      <c r="AG15" s="29" t="n">
        <v>1.74846843</v>
      </c>
      <c r="AH15" s="29" t="n">
        <v>1.95262472</v>
      </c>
      <c r="AI15" s="29" t="n">
        <v>1.90485837</v>
      </c>
      <c r="AJ15" s="29" t="n">
        <v>1.82765566</v>
      </c>
      <c r="AK15" s="29" t="n">
        <v>1.78707414</v>
      </c>
      <c r="AL15" s="29" t="n">
        <v>1.85734509</v>
      </c>
      <c r="AM15" s="29" t="n">
        <v>1.9004511</v>
      </c>
      <c r="AN15" s="29" t="n">
        <v>1.98401939</v>
      </c>
      <c r="AO15" s="29" t="n">
        <v>2.03990952</v>
      </c>
      <c r="AP15" s="29" t="n">
        <v>2.0301974</v>
      </c>
      <c r="AQ15" s="29" t="n">
        <v>2.11845016</v>
      </c>
      <c r="AR15" s="29" t="n">
        <v>2.04383326</v>
      </c>
      <c r="AS15" s="29" t="n">
        <v>2.14163022</v>
      </c>
      <c r="AT15" s="29" t="n">
        <v>2.32622388</v>
      </c>
      <c r="AU15" s="29" t="n">
        <v>2.47923851</v>
      </c>
      <c r="AV15" s="29" t="n">
        <v>2.52191581</v>
      </c>
      <c r="AW15" s="29" t="n">
        <v>2.49955964</v>
      </c>
      <c r="AX15" s="29" t="n">
        <v>2.35948013</v>
      </c>
      <c r="AY15" s="29" t="n">
        <v>2.29320689</v>
      </c>
      <c r="AZ15" s="29" t="n">
        <v>2.17759536</v>
      </c>
      <c r="BA15" s="29" t="n">
        <v>2.14323148</v>
      </c>
      <c r="BB15" s="29" t="n">
        <v>2.34503339</v>
      </c>
      <c r="BC15" s="29" t="n">
        <v>2.40908888</v>
      </c>
      <c r="BD15" s="29" t="n">
        <v>2.40585449</v>
      </c>
      <c r="BE15" s="29" t="n">
        <v>2.35198699</v>
      </c>
      <c r="BF15" s="29" t="n">
        <v>2.49379642</v>
      </c>
      <c r="BG15" s="29" t="n">
        <v>2.47745276</v>
      </c>
      <c r="BH15" s="29" t="n">
        <v>2.47947096</v>
      </c>
      <c r="BI15" s="29" t="n">
        <v>2.58075519</v>
      </c>
      <c r="BJ15" s="29" t="n">
        <v>2.63966741</v>
      </c>
      <c r="BK15" s="29" t="n">
        <v>2.57014837</v>
      </c>
      <c r="BL15" s="29" t="n">
        <v>2.6333129</v>
      </c>
      <c r="BM15" s="29" t="n">
        <v>2.66509916</v>
      </c>
      <c r="BN15" s="29" t="n">
        <v>2.73728426</v>
      </c>
      <c r="BO15" s="29" t="n">
        <v>2.7115553</v>
      </c>
      <c r="BP15" s="29" t="n">
        <v>2.69914496</v>
      </c>
      <c r="BQ15" s="29" t="n">
        <v>2.58949183</v>
      </c>
      <c r="BR15" s="29" t="n">
        <v>2.59616708</v>
      </c>
      <c r="BS15" s="29" t="n">
        <v>2.59966701</v>
      </c>
      <c r="BT15" s="29" t="n">
        <v>2.51734361</v>
      </c>
      <c r="BU15" s="29" t="n">
        <v>2.59327986</v>
      </c>
      <c r="BV15" s="29" t="n">
        <v>2.493194589999999</v>
      </c>
      <c r="BW15" s="29" t="n">
        <v>2.8006476</v>
      </c>
      <c r="BX15" s="29" t="n">
        <v>2.74581732</v>
      </c>
      <c r="BY15" s="29" t="n">
        <v>2.71814183</v>
      </c>
      <c r="BZ15" s="29" t="n">
        <v>2.65432644</v>
      </c>
      <c r="CA15" s="29" t="n">
        <v>2.62499768</v>
      </c>
      <c r="CB15" s="29" t="n">
        <v>2.49715947</v>
      </c>
      <c r="CC15" s="29" t="n">
        <v>2.5196657</v>
      </c>
      <c r="CD15" s="29" t="n">
        <v>2.37093379</v>
      </c>
      <c r="CE15" s="29" t="n">
        <v>2.17266796</v>
      </c>
      <c r="CF15" s="29" t="n">
        <v>2.093616439999999</v>
      </c>
      <c r="CG15" s="29" t="n">
        <v>2.036498819999999</v>
      </c>
      <c r="CH15" s="29" t="n">
        <v>2.079213859999999</v>
      </c>
      <c r="CI15" s="29" t="n">
        <v>2.189948069999999</v>
      </c>
      <c r="CJ15" s="29" t="n">
        <v>2.251888569999999</v>
      </c>
      <c r="CK15" s="29" t="n">
        <v>2.370685829999999</v>
      </c>
      <c r="CL15" s="29" t="n">
        <v>2.255338049999999</v>
      </c>
      <c r="CM15" s="29" t="n">
        <v>2.430685689999999</v>
      </c>
      <c r="CN15" s="29" t="n">
        <v>2.507618339999999</v>
      </c>
      <c r="CO15" s="29" t="n">
        <v>2.341471779999999</v>
      </c>
      <c r="CP15" s="29" t="n">
        <v>2.182439179999999</v>
      </c>
      <c r="CQ15" s="29" t="n">
        <v>2.214833789999999</v>
      </c>
      <c r="CR15" s="29" t="n">
        <v>2.038527069999999</v>
      </c>
      <c r="CS15" s="29" t="n">
        <v>2.082302059999999</v>
      </c>
      <c r="CT15" s="29" t="n">
        <v>2.054361419999999</v>
      </c>
      <c r="CU15" s="29" t="n">
        <v>2.200968959999999</v>
      </c>
      <c r="CV15" s="29" t="n">
        <v>2.124826469999999</v>
      </c>
      <c r="CW15" s="29" t="n">
        <v>2.185342349999999</v>
      </c>
      <c r="CX15" s="29" t="n">
        <v>2.037192059999999</v>
      </c>
      <c r="CY15" s="29" t="n">
        <v>1.929299939999999</v>
      </c>
      <c r="CZ15" s="29" t="n">
        <v>1.871800679999999</v>
      </c>
      <c r="DA15" s="29" t="n">
        <v>1.813576799999999</v>
      </c>
      <c r="DB15" s="29" t="n">
        <v>1.849297699999999</v>
      </c>
      <c r="DC15" s="29" t="n">
        <v>1.8844771</v>
      </c>
      <c r="DD15" s="29" t="n">
        <v>1.89067823</v>
      </c>
      <c r="DE15" s="29" t="n">
        <v>1.92369664</v>
      </c>
      <c r="DF15" s="29" t="n">
        <v>1.944992979999999</v>
      </c>
      <c r="DG15" s="29" t="n">
        <v>2.071483779999999</v>
      </c>
      <c r="DH15" s="29" t="n">
        <v>1.846893999999999</v>
      </c>
      <c r="DI15" s="29" t="n">
        <v>1.905541029999999</v>
      </c>
      <c r="DJ15" s="29" t="n">
        <v>1.740290559999999</v>
      </c>
      <c r="DK15" s="29" t="n">
        <v>1.724306269999999</v>
      </c>
      <c r="DL15" s="29" t="n">
        <v>1.736289059999999</v>
      </c>
      <c r="DM15" s="29" t="n">
        <v>1.690191159999999</v>
      </c>
      <c r="DN15" s="29" t="n">
        <v>1.86411946</v>
      </c>
      <c r="DO15" s="29" t="n">
        <v>1.912824979999999</v>
      </c>
      <c r="DP15" s="29" t="n">
        <v>1.940662989999999</v>
      </c>
      <c r="DQ15" s="29" t="n">
        <v>1.860288819999999</v>
      </c>
      <c r="DR15" s="29" t="n">
        <v>1.842744019999999</v>
      </c>
      <c r="DS15" s="29" t="n">
        <v>1.887662979999999</v>
      </c>
      <c r="DT15" s="29" t="n">
        <v>1.892696229999999</v>
      </c>
      <c r="DU15" s="29" t="n">
        <v>1.698176789999999</v>
      </c>
      <c r="DV15" s="29" t="n">
        <v>1.626583399999999</v>
      </c>
      <c r="DW15" s="29" t="n">
        <v>1.687192539999999</v>
      </c>
      <c r="DX15" s="29" t="n">
        <v>1.781806729999999</v>
      </c>
      <c r="DY15" s="29" t="n">
        <v>1.629687319999999</v>
      </c>
      <c r="DZ15" s="29" t="n">
        <v>1.550043749999999</v>
      </c>
      <c r="EA15" s="29" t="n">
        <v>1.783089579999999</v>
      </c>
      <c r="EB15" s="29" t="n">
        <v>1.891843089999999</v>
      </c>
      <c r="EC15" s="29" t="n">
        <v>1.748068889999999</v>
      </c>
      <c r="ED15" s="29" t="n">
        <v>1.667783629999999</v>
      </c>
      <c r="EE15" s="29" t="n">
        <v>1.644967739999999</v>
      </c>
      <c r="EF15" s="29" t="n">
        <v>1.570944819999999</v>
      </c>
    </row>
    <row r="16" ht="16.2" customFormat="1" customHeight="1" s="45" thickBot="1">
      <c r="A16" s="44" t="n"/>
      <c r="B16" s="52" t="inlineStr">
        <is>
          <t>192等分</t>
        </is>
      </c>
      <c r="C16" s="11" t="n">
        <v>0.01124133</v>
      </c>
      <c r="D16" s="29" t="n">
        <v>0.39326635</v>
      </c>
      <c r="E16" s="29" t="n">
        <v>0.24714144</v>
      </c>
      <c r="F16" s="29" t="n">
        <v>0.4526727</v>
      </c>
      <c r="G16" s="29" t="n">
        <v>0.33548956</v>
      </c>
      <c r="H16" s="29" t="n">
        <v>0.34707259</v>
      </c>
      <c r="I16" s="29" t="n">
        <v>0.18892303</v>
      </c>
      <c r="J16" s="29" t="n">
        <v>0.22339429</v>
      </c>
      <c r="K16" s="29" t="n">
        <v>0.43811879</v>
      </c>
      <c r="L16" s="29" t="n">
        <v>0.42911902</v>
      </c>
      <c r="M16" s="29" t="n">
        <v>0.35140079</v>
      </c>
      <c r="N16" s="29" t="n">
        <v>0.5195443799999999</v>
      </c>
      <c r="O16" s="29" t="n">
        <v>0.6186458599999999</v>
      </c>
      <c r="P16" s="29" t="n">
        <v>0.6617845399999999</v>
      </c>
      <c r="Q16" s="29" t="n">
        <v>0.8785102799999999</v>
      </c>
      <c r="R16" s="29" t="n">
        <v>0.9877633399999999</v>
      </c>
      <c r="S16" s="29" t="n">
        <v>1.07032595</v>
      </c>
      <c r="T16" s="29" t="n">
        <v>1.05466304</v>
      </c>
      <c r="U16" s="29" t="n">
        <v>1.17699208</v>
      </c>
      <c r="V16" s="29" t="n">
        <v>1.28050968</v>
      </c>
      <c r="W16" s="29" t="n">
        <v>1.50695334</v>
      </c>
      <c r="X16" s="29" t="n">
        <v>1.65699565</v>
      </c>
      <c r="Y16" s="29" t="n">
        <v>1.78596069</v>
      </c>
      <c r="Z16" s="29" t="n">
        <v>1.89157765</v>
      </c>
      <c r="AA16" s="29" t="n">
        <v>1.8699831</v>
      </c>
      <c r="AB16" s="29" t="n">
        <v>1.78522326</v>
      </c>
      <c r="AC16" s="29" t="n">
        <v>1.83247152</v>
      </c>
      <c r="AD16" s="29" t="n">
        <v>1.80548422</v>
      </c>
      <c r="AE16" s="29" t="n">
        <v>1.96670543</v>
      </c>
      <c r="AF16" s="29" t="n">
        <v>1.74320761</v>
      </c>
      <c r="AG16" s="29" t="n">
        <v>1.71104436</v>
      </c>
      <c r="AH16" s="29" t="n">
        <v>1.92768681</v>
      </c>
      <c r="AI16" s="29" t="n">
        <v>1.84440746</v>
      </c>
      <c r="AJ16" s="29" t="n">
        <v>1.78368178</v>
      </c>
      <c r="AK16" s="29" t="n">
        <v>1.77543326</v>
      </c>
      <c r="AL16" s="29" t="n">
        <v>1.84832671</v>
      </c>
      <c r="AM16" s="29" t="n">
        <v>1.88142269</v>
      </c>
      <c r="AN16" s="29" t="n">
        <v>1.94600809</v>
      </c>
      <c r="AO16" s="29" t="n">
        <v>1.99511638</v>
      </c>
      <c r="AP16" s="29" t="n">
        <v>1.98251186</v>
      </c>
      <c r="AQ16" s="29" t="n">
        <v>1.95505937</v>
      </c>
      <c r="AR16" s="29" t="n">
        <v>1.9417701</v>
      </c>
      <c r="AS16" s="29" t="n">
        <v>2.053865909999999</v>
      </c>
      <c r="AT16" s="29" t="n">
        <v>2.292989659999999</v>
      </c>
      <c r="AU16" s="29" t="n">
        <v>2.4360623</v>
      </c>
      <c r="AV16" s="29" t="n">
        <v>2.50753549</v>
      </c>
      <c r="AW16" s="29" t="n">
        <v>2.500670219999999</v>
      </c>
      <c r="AX16" s="29" t="n">
        <v>2.296330999999999</v>
      </c>
      <c r="AY16" s="29" t="n">
        <v>2.378388639999999</v>
      </c>
      <c r="AZ16" s="29" t="n">
        <v>2.222114629999999</v>
      </c>
      <c r="BA16" s="29" t="n">
        <v>2.185315769999999</v>
      </c>
      <c r="BB16" s="29" t="n">
        <v>2.416529399999999</v>
      </c>
      <c r="BC16" s="29" t="n">
        <v>2.487134969999999</v>
      </c>
      <c r="BD16" s="29" t="n">
        <v>2.433705159999999</v>
      </c>
      <c r="BE16" s="29" t="n">
        <v>2.439651959999999</v>
      </c>
      <c r="BF16" s="29" t="n">
        <v>2.577623219999999</v>
      </c>
      <c r="BG16" s="29" t="n">
        <v>2.581405359999999</v>
      </c>
      <c r="BH16" s="29" t="n">
        <v>2.509798909999999</v>
      </c>
      <c r="BI16" s="29" t="n">
        <v>2.624054579999999</v>
      </c>
      <c r="BJ16" s="29" t="n">
        <v>2.673194359999999</v>
      </c>
      <c r="BK16" s="29" t="n">
        <v>2.570596079999999</v>
      </c>
      <c r="BL16" s="29" t="n">
        <v>2.640455519999999</v>
      </c>
      <c r="BM16" s="29" t="n">
        <v>2.687924069999999</v>
      </c>
      <c r="BN16" s="29" t="n">
        <v>2.773588699999999</v>
      </c>
      <c r="BO16" s="29" t="n">
        <v>2.812050419999999</v>
      </c>
      <c r="BP16" s="29" t="n">
        <v>2.819332669999999</v>
      </c>
      <c r="BQ16" s="29" t="n">
        <v>2.710732399999999</v>
      </c>
      <c r="BR16" s="29" t="n">
        <v>2.724117549999999</v>
      </c>
      <c r="BS16" s="29" t="n">
        <v>2.756653749999999</v>
      </c>
      <c r="BT16" s="29" t="n">
        <v>2.660123249999999</v>
      </c>
      <c r="BU16" s="29" t="n">
        <v>2.758878199999999</v>
      </c>
      <c r="BV16" s="29" t="n">
        <v>2.625168279999999</v>
      </c>
      <c r="BW16" s="29" t="n">
        <v>2.976997829999999</v>
      </c>
      <c r="BX16" s="29" t="n">
        <v>2.919009809999999</v>
      </c>
      <c r="BY16" s="29" t="n">
        <v>2.875826329999999</v>
      </c>
      <c r="BZ16" s="29" t="n">
        <v>2.785554929999999</v>
      </c>
      <c r="CA16" s="29" t="n">
        <v>2.774221429999999</v>
      </c>
      <c r="CB16" s="29" t="n">
        <v>2.647726379999999</v>
      </c>
      <c r="CC16" s="29" t="n">
        <v>2.660641529999999</v>
      </c>
      <c r="CD16" s="29" t="n">
        <v>2.471782019999999</v>
      </c>
      <c r="CE16" s="29" t="n">
        <v>2.227818219999999</v>
      </c>
      <c r="CF16" s="29" t="n">
        <v>2.122033329999999</v>
      </c>
      <c r="CG16" s="29" t="n">
        <v>2.046063089999999</v>
      </c>
      <c r="CH16" s="29" t="n">
        <v>2.068258319999999</v>
      </c>
      <c r="CI16" s="29" t="n">
        <v>2.153466519999999</v>
      </c>
      <c r="CJ16" s="29" t="n">
        <v>2.276906839999999</v>
      </c>
      <c r="CK16" s="29" t="n">
        <v>2.357496459999999</v>
      </c>
      <c r="CL16" s="29" t="n">
        <v>2.208183309999999</v>
      </c>
      <c r="CM16" s="29" t="n">
        <v>2.397234479999999</v>
      </c>
      <c r="CN16" s="29" t="n">
        <v>2.375075069999999</v>
      </c>
      <c r="CO16" s="29" t="n">
        <v>2.146556869999999</v>
      </c>
      <c r="CP16" s="29" t="n">
        <v>1.954525659999999</v>
      </c>
      <c r="CQ16" s="29" t="n">
        <v>1.977643709999999</v>
      </c>
      <c r="CR16" s="29" t="n">
        <v>1.782157599999999</v>
      </c>
      <c r="CS16" s="29" t="n">
        <v>1.804450639999999</v>
      </c>
      <c r="CT16" s="29" t="n">
        <v>1.786373929999999</v>
      </c>
      <c r="CU16" s="29" t="n">
        <v>1.933101939999999</v>
      </c>
      <c r="CV16" s="29" t="n">
        <v>1.836097989999999</v>
      </c>
      <c r="CW16" s="29" t="n">
        <v>1.904001699999999</v>
      </c>
      <c r="CX16" s="29" t="n">
        <v>1.758847509999999</v>
      </c>
      <c r="CY16" s="29" t="n">
        <v>1.657880849999999</v>
      </c>
      <c r="CZ16" s="29" t="n">
        <v>1.644818219999999</v>
      </c>
      <c r="DA16" s="29" t="n">
        <v>1.597346329999999</v>
      </c>
      <c r="DB16" s="29" t="n">
        <v>1.654249039999999</v>
      </c>
      <c r="DC16" s="29" t="n">
        <v>1.687399349999998</v>
      </c>
      <c r="DD16" s="29" t="n">
        <v>1.690996529999998</v>
      </c>
      <c r="DE16" s="29" t="n">
        <v>1.701415249999999</v>
      </c>
      <c r="DF16" s="29" t="n">
        <v>1.746915209999998</v>
      </c>
      <c r="DG16" s="29" t="n">
        <v>1.870988519999998</v>
      </c>
      <c r="DH16" s="29" t="n">
        <v>1.592689669999999</v>
      </c>
      <c r="DI16" s="29" t="n">
        <v>1.666938009999999</v>
      </c>
      <c r="DJ16" s="29" t="n">
        <v>1.530379919999999</v>
      </c>
      <c r="DK16" s="29" t="n">
        <v>1.509614259999999</v>
      </c>
      <c r="DL16" s="29" t="n">
        <v>1.529079629999999</v>
      </c>
      <c r="DM16" s="29" t="n">
        <v>1.571944399999999</v>
      </c>
      <c r="DN16" s="29" t="n">
        <v>1.755179129999999</v>
      </c>
      <c r="DO16" s="29" t="n">
        <v>1.804999979999999</v>
      </c>
      <c r="DP16" s="29" t="n">
        <v>1.814830509999999</v>
      </c>
      <c r="DQ16" s="29" t="n">
        <v>1.757370329999999</v>
      </c>
      <c r="DR16" s="29" t="n">
        <v>1.701812339999998</v>
      </c>
      <c r="DS16" s="29" t="n">
        <v>1.632019579999999</v>
      </c>
      <c r="DT16" s="29" t="n">
        <v>1.602334239999999</v>
      </c>
      <c r="DU16" s="29" t="n">
        <v>1.329689909999999</v>
      </c>
      <c r="DV16" s="29" t="n">
        <v>1.227647729999999</v>
      </c>
      <c r="DW16" s="29" t="n">
        <v>1.296707929999999</v>
      </c>
      <c r="DX16" s="29" t="n">
        <v>1.394559149999999</v>
      </c>
      <c r="DY16" s="29" t="n">
        <v>1.207157319999999</v>
      </c>
      <c r="DZ16" s="29" t="n">
        <v>1.225272449999999</v>
      </c>
      <c r="EA16" s="29" t="n">
        <v>1.518962429999998</v>
      </c>
      <c r="EB16" s="29" t="n">
        <v>1.601369569999998</v>
      </c>
      <c r="EC16" s="29" t="n">
        <v>1.470363419999998</v>
      </c>
      <c r="ED16" s="29" t="n">
        <v>1.412535859999998</v>
      </c>
      <c r="EE16" s="29" t="n">
        <v>1.392518269999999</v>
      </c>
      <c r="EF16" s="29" t="n">
        <v>1.306715209999999</v>
      </c>
    </row>
    <row r="17" ht="16.2" customFormat="1" customHeight="1" s="45" thickBot="1">
      <c r="A17" s="44" t="n"/>
      <c r="B17" s="52" t="inlineStr">
        <is>
          <t>241等分</t>
        </is>
      </c>
      <c r="C17" s="11" t="n">
        <v>0.01038483</v>
      </c>
      <c r="D17" s="29" t="n">
        <v>0.13677275</v>
      </c>
      <c r="E17" s="29" t="n">
        <v>0.0930552</v>
      </c>
      <c r="F17" s="29" t="n">
        <v>0.27709378</v>
      </c>
      <c r="G17" s="29" t="n">
        <v>0.13325163</v>
      </c>
      <c r="H17" s="29" t="n">
        <v>0.09540755000000001</v>
      </c>
      <c r="I17" s="29" t="n">
        <v>-0.05184806</v>
      </c>
      <c r="J17" s="29" t="n">
        <v>0.008587270000000001</v>
      </c>
      <c r="K17" s="29" t="n">
        <v>0.2154673</v>
      </c>
      <c r="L17" s="29" t="n">
        <v>0.15824113</v>
      </c>
      <c r="M17" s="29" t="n">
        <v>0.05855654</v>
      </c>
      <c r="N17" s="29" t="n">
        <v>0.19760722</v>
      </c>
      <c r="O17" s="29" t="n">
        <v>0.30976649</v>
      </c>
      <c r="P17" s="29" t="n">
        <v>0.34965821</v>
      </c>
      <c r="Q17" s="29" t="n">
        <v>0.60696828</v>
      </c>
      <c r="R17" s="29" t="n">
        <v>0.7128039900000001</v>
      </c>
      <c r="S17" s="29" t="n">
        <v>0.9219634700000001</v>
      </c>
      <c r="T17" s="29" t="n">
        <v>0.9360038300000001</v>
      </c>
      <c r="U17" s="29" t="n">
        <v>1.02228225</v>
      </c>
      <c r="V17" s="29" t="n">
        <v>1.12765302</v>
      </c>
      <c r="W17" s="29" t="n">
        <v>1.45057357</v>
      </c>
      <c r="X17" s="29" t="n">
        <v>1.65837484</v>
      </c>
      <c r="Y17" s="29" t="n">
        <v>1.75110406</v>
      </c>
      <c r="Z17" s="29" t="n">
        <v>1.86530805</v>
      </c>
      <c r="AA17" s="29" t="n">
        <v>1.88479909</v>
      </c>
      <c r="AB17" s="29" t="n">
        <v>1.75665585</v>
      </c>
      <c r="AC17" s="29" t="n">
        <v>1.77548359</v>
      </c>
      <c r="AD17" s="29" t="n">
        <v>1.80141687</v>
      </c>
      <c r="AE17" s="29" t="n">
        <v>1.92952185</v>
      </c>
      <c r="AF17" s="29" t="n">
        <v>1.63437759</v>
      </c>
      <c r="AG17" s="29" t="n">
        <v>1.62333102</v>
      </c>
      <c r="AH17" s="29" t="n">
        <v>1.86368228</v>
      </c>
      <c r="AI17" s="29" t="n">
        <v>1.7959526</v>
      </c>
      <c r="AJ17" s="29" t="n">
        <v>1.71701144</v>
      </c>
      <c r="AK17" s="29" t="n">
        <v>1.73532981</v>
      </c>
      <c r="AL17" s="29" t="n">
        <v>1.80070963</v>
      </c>
      <c r="AM17" s="29" t="n">
        <v>1.86556661</v>
      </c>
      <c r="AN17" s="29" t="n">
        <v>1.97752267</v>
      </c>
      <c r="AO17" s="29" t="n">
        <v>2.06309044</v>
      </c>
      <c r="AP17" s="29" t="n">
        <v>2.04414806</v>
      </c>
      <c r="AQ17" s="29" t="n">
        <v>2.01955692</v>
      </c>
      <c r="AR17" s="29" t="n">
        <v>2.06754506</v>
      </c>
      <c r="AS17" s="29" t="n">
        <v>2.132000930000001</v>
      </c>
      <c r="AT17" s="29" t="n">
        <v>2.396839190000001</v>
      </c>
      <c r="AU17" s="29" t="n">
        <v>2.460294520000001</v>
      </c>
      <c r="AV17" s="29" t="n">
        <v>2.511192090000001</v>
      </c>
      <c r="AW17" s="29" t="n">
        <v>2.501401060000001</v>
      </c>
      <c r="AX17" s="29" t="n">
        <v>2.28368276</v>
      </c>
      <c r="AY17" s="29" t="n">
        <v>2.349405050000001</v>
      </c>
      <c r="AZ17" s="29" t="n">
        <v>2.25634566</v>
      </c>
      <c r="BA17" s="29" t="n">
        <v>2.18531348</v>
      </c>
      <c r="BB17" s="29" t="n">
        <v>2.47982612</v>
      </c>
      <c r="BC17" s="29" t="n">
        <v>2.51814727</v>
      </c>
      <c r="BD17" s="29" t="n">
        <v>2.49639641</v>
      </c>
      <c r="BE17" s="29" t="n">
        <v>2.49004588</v>
      </c>
      <c r="BF17" s="29" t="n">
        <v>2.6891631</v>
      </c>
      <c r="BG17" s="29" t="n">
        <v>2.70240741</v>
      </c>
      <c r="BH17" s="29" t="n">
        <v>2.65435371</v>
      </c>
      <c r="BI17" s="29" t="n">
        <v>2.80822836</v>
      </c>
      <c r="BJ17" s="29" t="n">
        <v>2.84021087</v>
      </c>
      <c r="BK17" s="29" t="n">
        <v>2.757237710000001</v>
      </c>
      <c r="BL17" s="29" t="n">
        <v>2.8445785</v>
      </c>
      <c r="BM17" s="29" t="n">
        <v>2.88537379</v>
      </c>
      <c r="BN17" s="29" t="n">
        <v>3.073621290000001</v>
      </c>
      <c r="BO17" s="29" t="n">
        <v>3.137478530000001</v>
      </c>
      <c r="BP17" s="29" t="n">
        <v>3.133297730000001</v>
      </c>
      <c r="BQ17" s="29" t="n">
        <v>3.060406990000001</v>
      </c>
      <c r="BR17" s="29" t="n">
        <v>3.079212180000001</v>
      </c>
      <c r="BS17" s="29" t="n">
        <v>3.144954000000001</v>
      </c>
      <c r="BT17" s="29" t="n">
        <v>3.052001800000001</v>
      </c>
      <c r="BU17" s="29" t="n">
        <v>3.187498260000001</v>
      </c>
      <c r="BV17" s="29" t="n">
        <v>3.168257770000001</v>
      </c>
      <c r="BW17" s="29" t="n">
        <v>3.352718440000001</v>
      </c>
      <c r="BX17" s="29" t="n">
        <v>3.264339110000001</v>
      </c>
      <c r="BY17" s="29" t="n">
        <v>3.249422730000001</v>
      </c>
      <c r="BZ17" s="29" t="n">
        <v>3.201759800000001</v>
      </c>
      <c r="CA17" s="29" t="n">
        <v>3.138727650000001</v>
      </c>
      <c r="CB17" s="29" t="n">
        <v>2.930857800000001</v>
      </c>
      <c r="CC17" s="29" t="n">
        <v>2.922838850000001</v>
      </c>
      <c r="CD17" s="29" t="n">
        <v>2.772050460000001</v>
      </c>
      <c r="CE17" s="29" t="n">
        <v>2.376974520000001</v>
      </c>
      <c r="CF17" s="29" t="n">
        <v>2.262448360000001</v>
      </c>
      <c r="CG17" s="29" t="n">
        <v>2.177363020000001</v>
      </c>
      <c r="CH17" s="29" t="n">
        <v>2.333989460000001</v>
      </c>
      <c r="CI17" s="29" t="n">
        <v>2.407172190000001</v>
      </c>
      <c r="CJ17" s="29" t="n">
        <v>2.492799950000001</v>
      </c>
      <c r="CK17" s="29" t="n">
        <v>2.559959580000001</v>
      </c>
      <c r="CL17" s="29" t="n">
        <v>2.372526460000001</v>
      </c>
      <c r="CM17" s="29" t="n">
        <v>2.598029450000001</v>
      </c>
      <c r="CN17" s="29" t="n">
        <v>2.567490560000001</v>
      </c>
      <c r="CO17" s="29" t="n">
        <v>2.329698580000001</v>
      </c>
      <c r="CP17" s="29" t="n">
        <v>2.106998520000001</v>
      </c>
      <c r="CQ17" s="29" t="n">
        <v>2.129910710000001</v>
      </c>
      <c r="CR17" s="29" t="n">
        <v>1.890850740000001</v>
      </c>
      <c r="CS17" s="29" t="n">
        <v>1.921758490000001</v>
      </c>
      <c r="CT17" s="29" t="n">
        <v>1.835685930000001</v>
      </c>
      <c r="CU17" s="29" t="n">
        <v>1.994602550000001</v>
      </c>
      <c r="CV17" s="29" t="n">
        <v>1.862975020000001</v>
      </c>
      <c r="CW17" s="29" t="n">
        <v>1.901320540000001</v>
      </c>
      <c r="CX17" s="29" t="n">
        <v>1.744351690000001</v>
      </c>
      <c r="CY17" s="29" t="n">
        <v>1.591899380000001</v>
      </c>
      <c r="CZ17" s="29" t="n">
        <v>1.578052170000001</v>
      </c>
      <c r="DA17" s="29" t="n">
        <v>1.579244430000001</v>
      </c>
      <c r="DB17" s="29" t="n">
        <v>1.613707840000001</v>
      </c>
      <c r="DC17" s="29" t="n">
        <v>1.634836830000001</v>
      </c>
      <c r="DD17" s="29" t="n">
        <v>1.637655620000001</v>
      </c>
      <c r="DE17" s="29" t="n">
        <v>1.666633360000001</v>
      </c>
      <c r="DF17" s="29" t="n">
        <v>1.815442260000001</v>
      </c>
      <c r="DG17" s="29" t="n">
        <v>1.963627190000001</v>
      </c>
      <c r="DH17" s="29" t="n">
        <v>1.882191000000001</v>
      </c>
      <c r="DI17" s="29" t="n">
        <v>1.972340200000001</v>
      </c>
      <c r="DJ17" s="29" t="n">
        <v>1.815734480000001</v>
      </c>
      <c r="DK17" s="29" t="n">
        <v>1.794768420000001</v>
      </c>
      <c r="DL17" s="29" t="n">
        <v>1.807505410000001</v>
      </c>
      <c r="DM17" s="29" t="n">
        <v>1.803250850000001</v>
      </c>
      <c r="DN17" s="29" t="n">
        <v>2.023546490000001</v>
      </c>
      <c r="DO17" s="29" t="n">
        <v>2.004987680000001</v>
      </c>
      <c r="DP17" s="29" t="n">
        <v>2.029253840000001</v>
      </c>
      <c r="DQ17" s="29" t="n">
        <v>1.958831140000001</v>
      </c>
      <c r="DR17" s="29" t="n">
        <v>1.905274150000001</v>
      </c>
      <c r="DS17" s="29" t="n">
        <v>1.820668720000001</v>
      </c>
      <c r="DT17" s="29" t="n">
        <v>1.815453530000001</v>
      </c>
      <c r="DU17" s="29" t="n">
        <v>1.475646890000001</v>
      </c>
      <c r="DV17" s="29" t="n">
        <v>1.320748640000001</v>
      </c>
      <c r="DW17" s="29" t="n">
        <v>1.472331520000001</v>
      </c>
      <c r="DX17" s="29" t="n">
        <v>1.589160410000001</v>
      </c>
      <c r="DY17" s="29" t="n">
        <v>1.363498530000001</v>
      </c>
      <c r="DZ17" s="29" t="n">
        <v>1.543389550000001</v>
      </c>
      <c r="EA17" s="29" t="n">
        <v>1.809446380000001</v>
      </c>
      <c r="EB17" s="29" t="n">
        <v>1.835748570000001</v>
      </c>
      <c r="EC17" s="29" t="n">
        <v>1.695654550000001</v>
      </c>
      <c r="ED17" s="29" t="n">
        <v>1.824809750000001</v>
      </c>
      <c r="EE17" s="29" t="n">
        <v>1.835765700000001</v>
      </c>
      <c r="EF17" s="29" t="n">
        <v>1.749668030000001</v>
      </c>
    </row>
    <row r="18" ht="16.2" customFormat="1" customHeight="1" s="45" thickBot="1">
      <c r="A18" s="44" t="n"/>
      <c r="B18" s="52" t="inlineStr">
        <is>
          <t>321等分</t>
        </is>
      </c>
      <c r="C18" s="11" t="n">
        <v>0.02592233</v>
      </c>
      <c r="D18" s="29" t="n">
        <v>0.16835018</v>
      </c>
      <c r="E18" s="29" t="n">
        <v>0.14611977</v>
      </c>
      <c r="F18" s="29" t="n">
        <v>0.21395083</v>
      </c>
      <c r="G18" s="29" t="n">
        <v>0.11006647</v>
      </c>
      <c r="H18" s="29" t="n">
        <v>-0.11973907</v>
      </c>
      <c r="I18" s="29" t="n">
        <v>-0.24323224</v>
      </c>
      <c r="J18" s="29" t="n">
        <v>-0.19063365</v>
      </c>
      <c r="K18" s="29" t="n">
        <v>0.05473225999999998</v>
      </c>
      <c r="L18" s="29" t="n">
        <v>-0.05275491000000003</v>
      </c>
      <c r="M18" s="29" t="n">
        <v>-0.12685497</v>
      </c>
      <c r="N18" s="29" t="n">
        <v>-0.02882411000000001</v>
      </c>
      <c r="O18" s="29" t="n">
        <v>0.11465624</v>
      </c>
      <c r="P18" s="29" t="n">
        <v>0.15751473</v>
      </c>
      <c r="Q18" s="29" t="n">
        <v>0.43429162</v>
      </c>
      <c r="R18" s="29" t="n">
        <v>0.47092005</v>
      </c>
      <c r="S18" s="29" t="n">
        <v>0.71797668</v>
      </c>
      <c r="T18" s="29" t="n">
        <v>0.78962858</v>
      </c>
      <c r="U18" s="29" t="n">
        <v>0.9002186</v>
      </c>
      <c r="V18" s="29" t="n">
        <v>0.9572427299999999</v>
      </c>
      <c r="W18" s="29" t="n">
        <v>1.30343622</v>
      </c>
      <c r="X18" s="29" t="n">
        <v>1.56063857</v>
      </c>
      <c r="Y18" s="29" t="n">
        <v>1.6085769</v>
      </c>
      <c r="Z18" s="29" t="n">
        <v>1.68412517</v>
      </c>
      <c r="AA18" s="29" t="n">
        <v>1.69117319</v>
      </c>
      <c r="AB18" s="29" t="n">
        <v>1.55673698</v>
      </c>
      <c r="AC18" s="29" t="n">
        <v>1.64251344</v>
      </c>
      <c r="AD18" s="29" t="n">
        <v>1.66110719</v>
      </c>
      <c r="AE18" s="29" t="n">
        <v>1.79193103</v>
      </c>
      <c r="AF18" s="29" t="n">
        <v>1.36201426</v>
      </c>
      <c r="AG18" s="29" t="n">
        <v>1.35120216</v>
      </c>
      <c r="AH18" s="29" t="n">
        <v>1.59882441</v>
      </c>
      <c r="AI18" s="29" t="n">
        <v>1.53143151</v>
      </c>
      <c r="AJ18" s="29" t="n">
        <v>1.48556538</v>
      </c>
      <c r="AK18" s="29" t="n">
        <v>1.56414115</v>
      </c>
      <c r="AL18" s="29" t="n">
        <v>1.60448212</v>
      </c>
      <c r="AM18" s="29" t="n">
        <v>1.68857102</v>
      </c>
      <c r="AN18" s="29" t="n">
        <v>1.79970383</v>
      </c>
      <c r="AO18" s="29" t="n">
        <v>1.95785671</v>
      </c>
      <c r="AP18" s="29" t="n">
        <v>1.93736398</v>
      </c>
      <c r="AQ18" s="29" t="n">
        <v>1.922868</v>
      </c>
      <c r="AR18" s="29" t="n">
        <v>1.99079249</v>
      </c>
      <c r="AS18" s="29" t="n">
        <v>2.07360293</v>
      </c>
      <c r="AT18" s="29" t="n">
        <v>2.0913313</v>
      </c>
      <c r="AU18" s="29" t="n">
        <v>2.2012459</v>
      </c>
      <c r="AV18" s="29" t="n">
        <v>2.26089204</v>
      </c>
      <c r="AW18" s="29" t="n">
        <v>2.29104143</v>
      </c>
      <c r="AX18" s="29" t="n">
        <v>2.30091662</v>
      </c>
      <c r="AY18" s="29" t="n">
        <v>2.3993729</v>
      </c>
      <c r="AZ18" s="29" t="n">
        <v>2.1718874</v>
      </c>
      <c r="BA18" s="29" t="n">
        <v>2.12628897</v>
      </c>
      <c r="BB18" s="29" t="n">
        <v>2.49583955</v>
      </c>
      <c r="BC18" s="29" t="n">
        <v>2.36500261</v>
      </c>
      <c r="BD18" s="29" t="n">
        <v>2.37795</v>
      </c>
      <c r="BE18" s="29" t="n">
        <v>2.35573382</v>
      </c>
      <c r="BF18" s="29" t="n">
        <v>2.55483627</v>
      </c>
      <c r="BG18" s="29" t="n">
        <v>2.60111578</v>
      </c>
      <c r="BH18" s="29" t="n">
        <v>2.47315524</v>
      </c>
      <c r="BI18" s="29" t="n">
        <v>2.5604733</v>
      </c>
      <c r="BJ18" s="29" t="n">
        <v>2.550239319999999</v>
      </c>
      <c r="BK18" s="29" t="n">
        <v>2.529384559999999</v>
      </c>
      <c r="BL18" s="29" t="n">
        <v>2.668855949999999</v>
      </c>
      <c r="BM18" s="29" t="n">
        <v>2.671286429999999</v>
      </c>
      <c r="BN18" s="29" t="n">
        <v>2.642767619999999</v>
      </c>
      <c r="BO18" s="29" t="n">
        <v>2.693252049999999</v>
      </c>
      <c r="BP18" s="29" t="n">
        <v>2.692711049999999</v>
      </c>
      <c r="BQ18" s="29" t="n">
        <v>2.60148286</v>
      </c>
      <c r="BR18" s="29" t="n">
        <v>2.622296469999999</v>
      </c>
      <c r="BS18" s="29" t="n">
        <v>2.719344059999999</v>
      </c>
      <c r="BT18" s="29" t="n">
        <v>2.786487279999999</v>
      </c>
      <c r="BU18" s="29" t="n">
        <v>2.999436049999999</v>
      </c>
      <c r="BV18" s="29" t="n">
        <v>2.998754289999999</v>
      </c>
      <c r="BW18" s="29" t="n">
        <v>3.13092608</v>
      </c>
      <c r="BX18" s="29" t="n">
        <v>2.97798871</v>
      </c>
      <c r="BY18" s="29" t="n">
        <v>3.010341589999999</v>
      </c>
      <c r="BZ18" s="29" t="n">
        <v>2.963083849999999</v>
      </c>
      <c r="CA18" s="29" t="n">
        <v>2.935593769999999</v>
      </c>
      <c r="CB18" s="29" t="n">
        <v>2.680854509999999</v>
      </c>
      <c r="CC18" s="29" t="n">
        <v>2.555750509999999</v>
      </c>
      <c r="CD18" s="29" t="n">
        <v>2.239978849999999</v>
      </c>
      <c r="CE18" s="29" t="n">
        <v>1.846591509999999</v>
      </c>
      <c r="CF18" s="29" t="n">
        <v>1.745821149999999</v>
      </c>
      <c r="CG18" s="29" t="n">
        <v>1.538735819999999</v>
      </c>
      <c r="CH18" s="29" t="n">
        <v>1.692342099999999</v>
      </c>
      <c r="CI18" s="29" t="n">
        <v>1.756959419999999</v>
      </c>
      <c r="CJ18" s="29" t="n">
        <v>1.860338929999999</v>
      </c>
      <c r="CK18" s="29" t="n">
        <v>1.971262469999999</v>
      </c>
      <c r="CL18" s="29" t="n">
        <v>1.876265459999999</v>
      </c>
      <c r="CM18" s="29" t="n">
        <v>2.196697459999999</v>
      </c>
      <c r="CN18" s="29" t="n">
        <v>2.205244229999999</v>
      </c>
      <c r="CO18" s="29" t="n">
        <v>2.019958469999999</v>
      </c>
      <c r="CP18" s="29" t="n">
        <v>1.760549909999999</v>
      </c>
      <c r="CQ18" s="29" t="n">
        <v>1.777709529999999</v>
      </c>
      <c r="CR18" s="29" t="n">
        <v>1.530936759999999</v>
      </c>
      <c r="CS18" s="29" t="n">
        <v>1.555376349999999</v>
      </c>
      <c r="CT18" s="29" t="n">
        <v>1.429284969999999</v>
      </c>
      <c r="CU18" s="29" t="n">
        <v>1.596638879999999</v>
      </c>
      <c r="CV18" s="29" t="n">
        <v>1.467021379999999</v>
      </c>
      <c r="CW18" s="29" t="n">
        <v>1.489905419999999</v>
      </c>
      <c r="CX18" s="29" t="n">
        <v>1.435612119999999</v>
      </c>
      <c r="CY18" s="29" t="n">
        <v>1.273172249999999</v>
      </c>
      <c r="CZ18" s="29" t="n">
        <v>1.265584999999999</v>
      </c>
      <c r="DA18" s="29" t="n">
        <v>1.261593249999999</v>
      </c>
      <c r="DB18" s="29" t="n">
        <v>1.291856609999999</v>
      </c>
      <c r="DC18" s="29" t="n">
        <v>1.303913009999999</v>
      </c>
      <c r="DD18" s="29" t="n">
        <v>1.335623179999999</v>
      </c>
      <c r="DE18" s="29" t="n">
        <v>1.317866679999999</v>
      </c>
      <c r="DF18" s="29" t="n">
        <v>1.414938389999999</v>
      </c>
      <c r="DG18" s="29" t="n">
        <v>1.503059799999999</v>
      </c>
      <c r="DH18" s="29" t="n">
        <v>1.421605419999999</v>
      </c>
      <c r="DI18" s="29" t="n">
        <v>1.502710959999999</v>
      </c>
      <c r="DJ18" s="29" t="n">
        <v>1.349011199999999</v>
      </c>
      <c r="DK18" s="29" t="n">
        <v>1.325665019999999</v>
      </c>
      <c r="DL18" s="29" t="n">
        <v>1.328878349999999</v>
      </c>
      <c r="DM18" s="29" t="n">
        <v>1.286201799999999</v>
      </c>
      <c r="DN18" s="29" t="n">
        <v>1.591576829999999</v>
      </c>
      <c r="DO18" s="29" t="n">
        <v>1.615345499999999</v>
      </c>
      <c r="DP18" s="29" t="n">
        <v>1.617517819999998</v>
      </c>
      <c r="DQ18" s="29" t="n">
        <v>1.452113649999998</v>
      </c>
      <c r="DR18" s="29" t="n">
        <v>1.380877349999998</v>
      </c>
      <c r="DS18" s="29" t="n">
        <v>1.251353509999998</v>
      </c>
      <c r="DT18" s="29" t="n">
        <v>1.278482259999998</v>
      </c>
      <c r="DU18" s="29" t="n">
        <v>0.9032133899999983</v>
      </c>
      <c r="DV18" s="29" t="n">
        <v>0.7461510199999983</v>
      </c>
      <c r="DW18" s="29" t="n">
        <v>0.8556540899999984</v>
      </c>
      <c r="DX18" s="29" t="n">
        <v>1.020006209999998</v>
      </c>
      <c r="DY18" s="29" t="n">
        <v>0.7022518399999982</v>
      </c>
      <c r="DZ18" s="29" t="n">
        <v>0.8678780899999982</v>
      </c>
      <c r="EA18" s="29" t="n">
        <v>1.008234249999998</v>
      </c>
      <c r="EB18" s="29" t="n">
        <v>1.138000199999998</v>
      </c>
      <c r="EC18" s="29" t="n">
        <v>1.166429009999998</v>
      </c>
      <c r="ED18" s="29" t="n">
        <v>1.350110999999998</v>
      </c>
      <c r="EE18" s="29" t="n">
        <v>1.386010359999998</v>
      </c>
      <c r="EF18" s="29" t="n">
        <v>1.349414889999998</v>
      </c>
    </row>
    <row r="19" ht="16.2" customFormat="1" customHeight="1" s="45" thickBot="1">
      <c r="A19" s="44" t="n"/>
      <c r="B19" s="52" t="inlineStr">
        <is>
          <t>大盤</t>
        </is>
      </c>
      <c r="C19" s="46" t="n">
        <v>-0.0174467705393903</v>
      </c>
      <c r="D19" s="47">
        <f>C19+預測IC!D26</f>
        <v/>
      </c>
      <c r="E19" s="47">
        <f>D19+預測IC!E26</f>
        <v/>
      </c>
      <c r="F19" s="47">
        <f>E19+預測IC!F26</f>
        <v/>
      </c>
      <c r="G19" s="47">
        <f>F19+預測IC!G26</f>
        <v/>
      </c>
      <c r="H19" s="47">
        <f>G19+預測IC!H26</f>
        <v/>
      </c>
      <c r="I19" s="47">
        <f>H19+預測IC!I26</f>
        <v/>
      </c>
      <c r="J19" s="47">
        <f>I19+預測IC!J26</f>
        <v/>
      </c>
      <c r="K19" s="47">
        <f>J19+預測IC!K26</f>
        <v/>
      </c>
      <c r="L19" s="47">
        <f>K19+預測IC!L26</f>
        <v/>
      </c>
      <c r="M19" s="47">
        <f>L19+預測IC!M26</f>
        <v/>
      </c>
      <c r="N19" s="47">
        <f>M19+預測IC!N26</f>
        <v/>
      </c>
      <c r="O19" s="47">
        <f>N19+預測IC!O26</f>
        <v/>
      </c>
      <c r="P19" s="47">
        <f>O19+預測IC!P26</f>
        <v/>
      </c>
      <c r="Q19" s="47">
        <f>P19+預測IC!Q26</f>
        <v/>
      </c>
      <c r="R19" s="47">
        <f>Q19+預測IC!R26</f>
        <v/>
      </c>
      <c r="S19" s="47">
        <f>R19+預測IC!S26</f>
        <v/>
      </c>
      <c r="T19" s="47">
        <f>S19+預測IC!T26</f>
        <v/>
      </c>
      <c r="U19" s="47">
        <f>T19+預測IC!U26</f>
        <v/>
      </c>
      <c r="V19" s="47">
        <f>U19+預測IC!V26</f>
        <v/>
      </c>
      <c r="W19" s="47">
        <f>V19+預測IC!W26</f>
        <v/>
      </c>
      <c r="X19" s="47">
        <f>W19+預測IC!X26</f>
        <v/>
      </c>
      <c r="Y19" s="47">
        <f>X19+預測IC!Y26</f>
        <v/>
      </c>
      <c r="Z19" s="47">
        <f>Y19+預測IC!Z26</f>
        <v/>
      </c>
      <c r="AA19" s="47">
        <f>Z19+預測IC!AA26</f>
        <v/>
      </c>
      <c r="AB19" s="47">
        <f>AA19+預測IC!AB26</f>
        <v/>
      </c>
      <c r="AC19" s="47">
        <f>AB19+預測IC!AC26</f>
        <v/>
      </c>
      <c r="AD19" s="47">
        <f>AC19+預測IC!AD26</f>
        <v/>
      </c>
      <c r="AE19" s="47">
        <f>AD19+預測IC!AE26</f>
        <v/>
      </c>
      <c r="AF19" s="47">
        <f>AE19+預測IC!AF26</f>
        <v/>
      </c>
      <c r="AG19" s="47">
        <f>AF19+預測IC!AG26</f>
        <v/>
      </c>
      <c r="AH19" s="47">
        <f>AG19+預測IC!AH26</f>
        <v/>
      </c>
      <c r="AI19" s="47">
        <f>AH19+預測IC!AI26</f>
        <v/>
      </c>
      <c r="AJ19" s="47">
        <f>AI19+預測IC!AJ26</f>
        <v/>
      </c>
      <c r="AK19" s="47">
        <f>AJ19+預測IC!AK26</f>
        <v/>
      </c>
      <c r="AL19" s="47">
        <f>AK19+預測IC!AL26</f>
        <v/>
      </c>
      <c r="AM19" s="47">
        <f>AL19+預測IC!AM26</f>
        <v/>
      </c>
      <c r="AN19" s="47">
        <f>AM19+預測IC!AN26</f>
        <v/>
      </c>
      <c r="AO19" s="47">
        <f>AN19+預測IC!AO26</f>
        <v/>
      </c>
      <c r="AP19" s="47">
        <f>AO19+預測IC!AP26</f>
        <v/>
      </c>
      <c r="AQ19" s="47">
        <f>AP19+預測IC!AQ26</f>
        <v/>
      </c>
      <c r="AR19" s="47">
        <f>AQ19+預測IC!AR26</f>
        <v/>
      </c>
      <c r="AS19" s="47">
        <f>AR19+預測IC!AS26</f>
        <v/>
      </c>
      <c r="AT19" s="47">
        <f>AS19+預測IC!AT26</f>
        <v/>
      </c>
      <c r="AU19" s="47">
        <f>AT19+預測IC!AU26</f>
        <v/>
      </c>
      <c r="AV19" s="47">
        <f>AU19+預測IC!AV26</f>
        <v/>
      </c>
      <c r="AW19" s="47">
        <f>AV19+預測IC!AW26</f>
        <v/>
      </c>
      <c r="AX19" s="47">
        <f>AW19+預測IC!AX26</f>
        <v/>
      </c>
      <c r="AY19" s="47">
        <f>AX19+預測IC!AY26</f>
        <v/>
      </c>
      <c r="AZ19" s="47">
        <f>AY19+預測IC!AZ26</f>
        <v/>
      </c>
      <c r="BA19" s="47">
        <f>AZ19+預測IC!BA26</f>
        <v/>
      </c>
      <c r="BB19" s="47">
        <f>BA19+預測IC!BB26</f>
        <v/>
      </c>
      <c r="BC19" s="47">
        <f>BB19+預測IC!BC26</f>
        <v/>
      </c>
      <c r="BD19" s="47">
        <f>BC19+預測IC!BD26</f>
        <v/>
      </c>
      <c r="BE19" s="47">
        <f>BD19+預測IC!BE26</f>
        <v/>
      </c>
      <c r="BF19" s="47">
        <f>BE19+預測IC!BF26</f>
        <v/>
      </c>
      <c r="BG19" s="47">
        <f>BF19+預測IC!BG26</f>
        <v/>
      </c>
      <c r="BH19" s="47">
        <f>BG19+預測IC!BH26</f>
        <v/>
      </c>
      <c r="BI19" s="47">
        <f>BH19+預測IC!BI26</f>
        <v/>
      </c>
      <c r="BJ19" s="47">
        <f>BI19+預測IC!BJ26</f>
        <v/>
      </c>
      <c r="BK19" s="47">
        <f>BJ19+預測IC!BK26</f>
        <v/>
      </c>
      <c r="BL19" s="47">
        <f>BK19+預測IC!BL26</f>
        <v/>
      </c>
      <c r="BM19" s="47">
        <f>BL19+預測IC!BM26</f>
        <v/>
      </c>
      <c r="BN19" s="47">
        <f>BM19+預測IC!BN26</f>
        <v/>
      </c>
      <c r="BO19" s="47">
        <f>BN19+預測IC!BO26</f>
        <v/>
      </c>
      <c r="BP19" s="47">
        <f>BO19+預測IC!BP26</f>
        <v/>
      </c>
      <c r="BQ19" s="47">
        <f>BP19+預測IC!BQ26</f>
        <v/>
      </c>
      <c r="BR19" s="47">
        <f>BQ19+預測IC!BR26</f>
        <v/>
      </c>
      <c r="BS19" s="47">
        <f>BR19+預測IC!BS26</f>
        <v/>
      </c>
      <c r="BT19" s="47">
        <f>BS19+預測IC!BT26</f>
        <v/>
      </c>
      <c r="BU19" s="47">
        <f>BT19+預測IC!BU26</f>
        <v/>
      </c>
      <c r="BV19" s="47">
        <f>BU19+預測IC!BV26</f>
        <v/>
      </c>
      <c r="BW19" s="47">
        <f>BV19+預測IC!BW26</f>
        <v/>
      </c>
      <c r="BX19" s="47">
        <f>BW19+預測IC!BX26</f>
        <v/>
      </c>
      <c r="BY19" s="47">
        <f>BX19+預測IC!BY26</f>
        <v/>
      </c>
      <c r="BZ19" s="47">
        <f>BY19+預測IC!BZ26</f>
        <v/>
      </c>
      <c r="CA19" s="47">
        <f>BZ19+預測IC!CA26</f>
        <v/>
      </c>
      <c r="CB19" s="47">
        <f>CA19+預測IC!CB26</f>
        <v/>
      </c>
      <c r="CC19" s="47">
        <f>CB19+預測IC!CC26</f>
        <v/>
      </c>
      <c r="CD19" s="47">
        <f>CC19+預測IC!CD26</f>
        <v/>
      </c>
      <c r="CE19" s="47">
        <f>CD19+預測IC!CE26</f>
        <v/>
      </c>
      <c r="CF19" s="47">
        <f>CE19+預測IC!CF26</f>
        <v/>
      </c>
      <c r="CG19" s="47">
        <f>CF19+預測IC!CG26</f>
        <v/>
      </c>
      <c r="CH19" s="47">
        <f>CG19+預測IC!CH26</f>
        <v/>
      </c>
      <c r="CI19" s="47">
        <f>CH19+預測IC!CI26</f>
        <v/>
      </c>
      <c r="CJ19" s="47">
        <f>CI19+預測IC!CJ26</f>
        <v/>
      </c>
      <c r="CK19" s="47">
        <f>CJ19+預測IC!CK26</f>
        <v/>
      </c>
      <c r="CL19" s="47">
        <f>CK19+預測IC!CL26</f>
        <v/>
      </c>
      <c r="CM19" s="47">
        <f>CL19+預測IC!CM26</f>
        <v/>
      </c>
      <c r="CN19" s="47">
        <f>CM19+預測IC!CN26</f>
        <v/>
      </c>
      <c r="CO19" s="47">
        <f>CN19+預測IC!CO26</f>
        <v/>
      </c>
      <c r="CP19" s="47">
        <f>CO19+預測IC!CP26</f>
        <v/>
      </c>
      <c r="CQ19" s="47">
        <f>CP19+預測IC!CQ26</f>
        <v/>
      </c>
      <c r="CR19" s="47">
        <f>CQ19+預測IC!CR26</f>
        <v/>
      </c>
      <c r="CS19" s="47">
        <f>CR19+預測IC!CS26</f>
        <v/>
      </c>
      <c r="CT19" s="47">
        <f>CS19+預測IC!CT26</f>
        <v/>
      </c>
      <c r="CU19" s="47">
        <f>CT19+預測IC!CU26</f>
        <v/>
      </c>
      <c r="CV19" s="47">
        <f>CU19+預測IC!CV26</f>
        <v/>
      </c>
      <c r="CW19" s="47">
        <f>CV19+預測IC!CW26</f>
        <v/>
      </c>
      <c r="CX19" s="47">
        <f>CW19+預測IC!CX26</f>
        <v/>
      </c>
      <c r="CY19" s="47">
        <f>CX19+預測IC!CY26</f>
        <v/>
      </c>
      <c r="CZ19" s="47">
        <f>CY19+預測IC!CZ26</f>
        <v/>
      </c>
      <c r="DA19" s="47">
        <f>CZ19+預測IC!DA26</f>
        <v/>
      </c>
      <c r="DB19" s="47">
        <f>DA19+預測IC!DB26</f>
        <v/>
      </c>
      <c r="DC19" s="47">
        <f>DB19+預測IC!DC26</f>
        <v/>
      </c>
      <c r="DD19" s="47">
        <f>DC19+預測IC!DD26</f>
        <v/>
      </c>
      <c r="DE19" s="47">
        <f>DD19+預測IC!DE26</f>
        <v/>
      </c>
      <c r="DF19" s="47">
        <f>DE19+預測IC!DF26</f>
        <v/>
      </c>
      <c r="DG19" s="47">
        <f>DF19+預測IC!DG26</f>
        <v/>
      </c>
      <c r="DH19" s="47">
        <f>DG19+預測IC!DH26</f>
        <v/>
      </c>
      <c r="DI19" s="47">
        <f>DH19+預測IC!DI26</f>
        <v/>
      </c>
      <c r="DJ19" s="47">
        <f>DI19+預測IC!DJ26</f>
        <v/>
      </c>
      <c r="DK19" s="47">
        <f>DJ19+預測IC!DK26</f>
        <v/>
      </c>
      <c r="DL19" s="47">
        <f>DK19+預測IC!DL26</f>
        <v/>
      </c>
      <c r="DM19" s="47">
        <f>DL19+預測IC!DM26</f>
        <v/>
      </c>
      <c r="DN19" s="47">
        <f>DM19+預測IC!DN26</f>
        <v/>
      </c>
      <c r="DO19" s="47">
        <f>DN19+預測IC!DO26</f>
        <v/>
      </c>
      <c r="DP19" s="47">
        <f>DO19+預測IC!DP26</f>
        <v/>
      </c>
      <c r="DQ19" s="47">
        <f>DP19+預測IC!DQ26</f>
        <v/>
      </c>
      <c r="DR19" s="47">
        <f>DQ19+預測IC!DR26</f>
        <v/>
      </c>
      <c r="DS19" s="47">
        <f>DR19+預測IC!DS26</f>
        <v/>
      </c>
      <c r="DT19" s="47">
        <f>DS19+預測IC!DT26</f>
        <v/>
      </c>
      <c r="DU19" s="47">
        <f>DT19+預測IC!DU26</f>
        <v/>
      </c>
      <c r="DV19" s="47">
        <f>DU19+預測IC!DV26</f>
        <v/>
      </c>
      <c r="DW19" s="47">
        <f>DV19+預測IC!DW26</f>
        <v/>
      </c>
      <c r="DX19" s="47">
        <f>DW19+預測IC!DX26</f>
        <v/>
      </c>
      <c r="DY19" s="47">
        <f>DX19+預測IC!DY26</f>
        <v/>
      </c>
      <c r="DZ19" s="47">
        <f>DY19+預測IC!DZ26</f>
        <v/>
      </c>
      <c r="EA19" s="47">
        <f>DZ19+預測IC!EA26</f>
        <v/>
      </c>
      <c r="EB19" s="47">
        <f>EA19+預測IC!EB26</f>
        <v/>
      </c>
      <c r="EC19" s="47">
        <f>EB19+預測IC!EC26</f>
        <v/>
      </c>
      <c r="ED19" s="47">
        <f>EC19+預測IC!ED26</f>
        <v/>
      </c>
      <c r="EE19" s="47">
        <f>ED19+預測IC!EE26</f>
        <v/>
      </c>
      <c r="EF19" s="47">
        <f>EE19+預測IC!EF26</f>
        <v/>
      </c>
    </row>
    <row r="20" ht="16.2" customFormat="1" customHeight="1" s="45">
      <c r="A20" s="4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  <c r="DR20" s="34" t="n"/>
      <c r="DS20" s="34" t="n"/>
      <c r="DT20" s="34" t="n"/>
      <c r="DU20" s="34" t="n"/>
      <c r="DV20" s="34" t="n"/>
      <c r="DW20" s="34" t="n"/>
      <c r="DX20" s="34" t="n"/>
      <c r="DY20" s="34" t="n"/>
      <c r="DZ20" s="34" t="n"/>
      <c r="EA20" s="34" t="n"/>
      <c r="EB20" s="34" t="n"/>
      <c r="EC20" s="34" t="n"/>
      <c r="ED20" s="34" t="n"/>
      <c r="EE20" s="34" t="n"/>
      <c r="EF20" s="34" t="n"/>
    </row>
    <row r="21" ht="16.2" customFormat="1" customHeight="1" s="45">
      <c r="A21" s="4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  <c r="BB21" s="34" t="n"/>
      <c r="BC21" s="34" t="n"/>
      <c r="BD21" s="34" t="n"/>
      <c r="BE21" s="34" t="n"/>
      <c r="BF21" s="34" t="n"/>
      <c r="BG21" s="34" t="n"/>
      <c r="BH21" s="34" t="n"/>
      <c r="BI21" s="34" t="n"/>
      <c r="BJ21" s="34" t="n"/>
      <c r="BK21" s="34" t="n"/>
      <c r="BL21" s="34" t="n"/>
      <c r="BM21" s="34" t="n"/>
      <c r="BN21" s="34" t="n"/>
      <c r="BO21" s="34" t="n"/>
      <c r="BP21" s="34" t="n"/>
      <c r="BQ21" s="34" t="n"/>
      <c r="BR21" s="34" t="n"/>
      <c r="BS21" s="34" t="n"/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  <c r="DR21" s="34" t="n"/>
      <c r="DS21" s="34" t="n"/>
      <c r="DT21" s="34" t="n"/>
      <c r="DU21" s="34" t="n"/>
      <c r="DV21" s="34" t="n"/>
      <c r="DW21" s="34" t="n"/>
      <c r="DX21" s="34" t="n"/>
      <c r="DY21" s="34" t="n"/>
      <c r="DZ21" s="34" t="n"/>
      <c r="EA21" s="34" t="n"/>
      <c r="EB21" s="34" t="n"/>
      <c r="EC21" s="34" t="n"/>
      <c r="ED21" s="34" t="n"/>
      <c r="EE21" s="34" t="n"/>
      <c r="EF21" s="34" t="n"/>
    </row>
    <row r="22" ht="16.2" customFormat="1" customHeight="1" s="45">
      <c r="A22" s="4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  <c r="BB22" s="34" t="n"/>
      <c r="BC22" s="34" t="n"/>
      <c r="BD22" s="34" t="n"/>
      <c r="BE22" s="34" t="n"/>
      <c r="BF22" s="34" t="n"/>
      <c r="BG22" s="34" t="n"/>
      <c r="BH22" s="34" t="n"/>
      <c r="BI22" s="34" t="n"/>
      <c r="BJ22" s="34" t="n"/>
      <c r="BK22" s="34" t="n"/>
      <c r="BL22" s="34" t="n"/>
      <c r="BM22" s="34" t="n"/>
      <c r="BN22" s="34" t="n"/>
      <c r="BO22" s="34" t="n"/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  <c r="DR22" s="34" t="n"/>
      <c r="DS22" s="34" t="n"/>
      <c r="DT22" s="34" t="n"/>
      <c r="DU22" s="34" t="n"/>
      <c r="DV22" s="34" t="n"/>
      <c r="DW22" s="34" t="n"/>
      <c r="DX22" s="34" t="n"/>
      <c r="DY22" s="34" t="n"/>
      <c r="DZ22" s="34" t="n"/>
      <c r="EA22" s="34" t="n"/>
      <c r="EB22" s="34" t="n"/>
      <c r="EC22" s="34" t="n"/>
      <c r="ED22" s="34" t="n"/>
      <c r="EE22" s="34" t="n"/>
      <c r="EF22" s="34" t="n"/>
    </row>
    <row r="23" ht="16.2" customFormat="1" customHeight="1" s="45">
      <c r="A23" s="4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4" t="n"/>
      <c r="BD23" s="34" t="n"/>
      <c r="BE23" s="34" t="n"/>
      <c r="BF23" s="34" t="n"/>
      <c r="BG23" s="34" t="n"/>
      <c r="BH23" s="34" t="n"/>
      <c r="BI23" s="34" t="n"/>
      <c r="BJ23" s="34" t="n"/>
      <c r="BK23" s="34" t="n"/>
      <c r="BL23" s="34" t="n"/>
      <c r="BM23" s="34" t="n"/>
      <c r="BN23" s="34" t="n"/>
      <c r="BO23" s="34" t="n"/>
      <c r="BP23" s="34" t="n"/>
      <c r="BQ23" s="34" t="n"/>
      <c r="BR23" s="34" t="n"/>
      <c r="BS23" s="34" t="n"/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  <c r="DR23" s="34" t="n"/>
      <c r="DS23" s="34" t="n"/>
      <c r="DT23" s="34" t="n"/>
      <c r="DU23" s="34" t="n"/>
      <c r="DV23" s="34" t="n"/>
      <c r="DW23" s="34" t="n"/>
      <c r="DX23" s="34" t="n"/>
      <c r="DY23" s="34" t="n"/>
      <c r="DZ23" s="34" t="n"/>
      <c r="EA23" s="34" t="n"/>
      <c r="EB23" s="34" t="n"/>
      <c r="EC23" s="34" t="n"/>
      <c r="ED23" s="34" t="n"/>
      <c r="EE23" s="34" t="n"/>
      <c r="EF23" s="34" t="n"/>
    </row>
    <row r="24" ht="16.2" customFormat="1" customHeight="1" s="45">
      <c r="A24" s="4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4" t="n"/>
      <c r="BD24" s="34" t="n"/>
      <c r="BE24" s="34" t="n"/>
      <c r="BF24" s="34" t="n"/>
      <c r="BG24" s="34" t="n"/>
      <c r="BH24" s="34" t="n"/>
      <c r="BI24" s="34" t="n"/>
      <c r="BJ24" s="34" t="n"/>
      <c r="BK24" s="34" t="n"/>
      <c r="BL24" s="34" t="n"/>
      <c r="BM24" s="34" t="n"/>
      <c r="BN24" s="34" t="n"/>
      <c r="BO24" s="34" t="n"/>
      <c r="BP24" s="34" t="n"/>
      <c r="BQ24" s="34" t="n"/>
      <c r="BR24" s="34" t="n"/>
      <c r="BS24" s="34" t="n"/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  <c r="DR24" s="34" t="n"/>
      <c r="DS24" s="34" t="n"/>
      <c r="DT24" s="34" t="n"/>
      <c r="DU24" s="34" t="n"/>
      <c r="DV24" s="34" t="n"/>
      <c r="DW24" s="34" t="n"/>
      <c r="DX24" s="34" t="n"/>
      <c r="DY24" s="34" t="n"/>
      <c r="DZ24" s="34" t="n"/>
      <c r="EA24" s="34" t="n"/>
      <c r="EB24" s="34" t="n"/>
      <c r="EC24" s="34" t="n"/>
      <c r="ED24" s="34" t="n"/>
      <c r="EE24" s="34" t="n"/>
      <c r="EF24" s="34" t="n"/>
    </row>
    <row r="25" ht="16.2" customHeight="1" s="54"/>
    <row r="26" ht="17.7" customHeight="1" s="54">
      <c r="A26" s="44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2025-05-09T03:26:11Z</dcterms:modified>
  <cp:lastModifiedBy>書維 何</cp:lastModifiedBy>
</cp:coreProperties>
</file>